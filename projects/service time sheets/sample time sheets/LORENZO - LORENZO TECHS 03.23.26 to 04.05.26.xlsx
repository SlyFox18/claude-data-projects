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spitractor-my.sharepoint.com/personal/shusky_spitractor_com/Documents/Desktop/Payroll/Payroll 2026/excel saved sheets/"/>
    </mc:Choice>
  </mc:AlternateContent>
  <xr:revisionPtr revIDLastSave="541" documentId="8_{A2CE6141-AC8E-4EC4-BE29-2B861D3BC4FA}" xr6:coauthVersionLast="47" xr6:coauthVersionMax="47" xr10:uidLastSave="{427615D3-B065-44C9-BAB9-3DB9F8F681F7}"/>
  <bookViews>
    <workbookView xWindow="390" yWindow="390" windowWidth="19590" windowHeight="15210" firstSheet="9" activeTab="9" xr2:uid="{9E3FE6F6-2A5F-4493-9115-A6BE16EFF389}"/>
  </bookViews>
  <sheets>
    <sheet name="JAMES A." sheetId="19" r:id="rId1"/>
    <sheet name="LARRY D." sheetId="20" r:id="rId2"/>
    <sheet name="JOHNNIE F." sheetId="21" r:id="rId3"/>
    <sheet name="BENJAMIN F." sheetId="22" r:id="rId4"/>
    <sheet name="KEVIN H." sheetId="23" r:id="rId5"/>
    <sheet name="ALLEN M." sheetId="24" r:id="rId6"/>
    <sheet name="ANDREW M." sheetId="25" r:id="rId7"/>
    <sheet name="NICK N." sheetId="26" r:id="rId8"/>
    <sheet name="ANGEL R." sheetId="27" r:id="rId9"/>
    <sheet name="NOAH T." sheetId="2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28" l="1"/>
  <c r="N42" i="28"/>
  <c r="O42" i="27"/>
  <c r="N42" i="27"/>
  <c r="O42" i="26"/>
  <c r="N42" i="26"/>
  <c r="O42" i="25"/>
  <c r="N42" i="25"/>
  <c r="O42" i="24"/>
  <c r="N42" i="24"/>
  <c r="O42" i="23"/>
  <c r="N42" i="23"/>
  <c r="O42" i="22"/>
  <c r="N42" i="22"/>
  <c r="O42" i="21"/>
  <c r="N42" i="21"/>
  <c r="O42" i="20"/>
  <c r="N42" i="20"/>
  <c r="O42" i="19"/>
  <c r="N42" i="19"/>
</calcChain>
</file>

<file path=xl/sharedStrings.xml><?xml version="1.0" encoding="utf-8"?>
<sst xmlns="http://schemas.openxmlformats.org/spreadsheetml/2006/main" count="419" uniqueCount="119">
  <si>
    <t>TECHNICIAN NAME:</t>
  </si>
  <si>
    <t>JAMES ACKER</t>
  </si>
  <si>
    <t>LOCATION:</t>
  </si>
  <si>
    <t>LORENZO</t>
  </si>
  <si>
    <t>TECH #</t>
  </si>
  <si>
    <t>T9119</t>
  </si>
  <si>
    <t>PAYROLL START DATE(MON):</t>
  </si>
  <si>
    <t>TECH LEVEL:</t>
  </si>
  <si>
    <t>PAYROLL END DATE(SUN):</t>
  </si>
  <si>
    <t>CUSTOMER NAME</t>
  </si>
  <si>
    <t>MODEL</t>
  </si>
  <si>
    <t>RO#</t>
  </si>
  <si>
    <t>% WORK COMPLETE</t>
  </si>
  <si>
    <t>*DRAW#1 DATE</t>
  </si>
  <si>
    <t>*DRAW#1 HRS</t>
  </si>
  <si>
    <t>*DRAW#2 DATE</t>
  </si>
  <si>
    <t>*DRAW#2 HRS</t>
  </si>
  <si>
    <t>*DRAW#3 DATE</t>
  </si>
  <si>
    <t>*DRAW#3 HRS</t>
  </si>
  <si>
    <t>*FINAL DRAW DATE</t>
  </si>
  <si>
    <t>*FINAL DRAW HRS</t>
  </si>
  <si>
    <r>
      <t>CURRENT DRAW</t>
    </r>
    <r>
      <rPr>
        <b/>
        <sz val="11"/>
        <color theme="1"/>
        <rFont val="Aptos Narrow"/>
        <family val="2"/>
        <scheme val="minor"/>
      </rPr>
      <t>/ SHOP/FIELD HOURS</t>
    </r>
  </si>
  <si>
    <t>AFTER HOURS</t>
  </si>
  <si>
    <t>TOTAL HOURS</t>
  </si>
  <si>
    <t>HOLIDAY HOURS</t>
  </si>
  <si>
    <t>PTO HOURS</t>
  </si>
  <si>
    <t>NO PAY HOURS</t>
  </si>
  <si>
    <t>*FOR RECORD KEEPING PURPOSES ONLY</t>
  </si>
  <si>
    <t>LARRY DAVIS</t>
  </si>
  <si>
    <t>T9108</t>
  </si>
  <si>
    <t>JACOB REDDY</t>
  </si>
  <si>
    <t>8245R</t>
  </si>
  <si>
    <t>JON T JONES FARMS (FLOYDADA)</t>
  </si>
  <si>
    <t>8235R</t>
  </si>
  <si>
    <t>SPI INTERNAL SERVICE-LORENZO</t>
  </si>
  <si>
    <t>TRAINING</t>
  </si>
  <si>
    <t>DALE &amp; LORI CRUMP FARMS JV</t>
  </si>
  <si>
    <t>SAFTEY TRAIN</t>
  </si>
  <si>
    <t>RYAN ROGERS FARMS LLC</t>
  </si>
  <si>
    <t>SPI INTERNAL SERVICE-CROSBYTON</t>
  </si>
  <si>
    <t>GMC</t>
  </si>
  <si>
    <t>DON CRUMP</t>
  </si>
  <si>
    <t>JOHNNIE FETSCH</t>
  </si>
  <si>
    <t>T9129</t>
  </si>
  <si>
    <t>8285R</t>
  </si>
  <si>
    <t>ZANE COLSTON</t>
  </si>
  <si>
    <t>GREER FARMS, LLC</t>
  </si>
  <si>
    <t>LONG FARMS</t>
  </si>
  <si>
    <t>MARTIN &amp; MIMMS</t>
  </si>
  <si>
    <t>BENJAMIN FLORES</t>
  </si>
  <si>
    <t>T9175</t>
  </si>
  <si>
    <t>BENNY POULSON</t>
  </si>
  <si>
    <t>GLEN CAMPBELL</t>
  </si>
  <si>
    <t>CS770</t>
  </si>
  <si>
    <t>SOUTH PLAINS IMP-LORENZO</t>
  </si>
  <si>
    <t>8R 310</t>
  </si>
  <si>
    <t>J &amp; J FARMS</t>
  </si>
  <si>
    <t>SHANNON ADKINS</t>
  </si>
  <si>
    <t>CS690</t>
  </si>
  <si>
    <t>TRUCK</t>
  </si>
  <si>
    <t>R&amp;M BUILDING</t>
  </si>
  <si>
    <t>KEVIN HENDLEY</t>
  </si>
  <si>
    <t>T9107</t>
  </si>
  <si>
    <t>DUSTY ANDERSON</t>
  </si>
  <si>
    <t>N/A</t>
  </si>
  <si>
    <t>JON RAMSEY</t>
  </si>
  <si>
    <t>ALLEN MARTIN</t>
  </si>
  <si>
    <t>T9154</t>
  </si>
  <si>
    <t>HR FARMS</t>
  </si>
  <si>
    <t>R4038</t>
  </si>
  <si>
    <t>HATLEY FARMS</t>
  </si>
  <si>
    <t>R4030</t>
  </si>
  <si>
    <t>ANDREW MARTIN</t>
  </si>
  <si>
    <t>T9112</t>
  </si>
  <si>
    <t>CD FARMS INC</t>
  </si>
  <si>
    <t>R4044</t>
  </si>
  <si>
    <t>CROSBY COUNTY FUEL ASSOCIATION</t>
  </si>
  <si>
    <t>NICK NUNLEY</t>
  </si>
  <si>
    <t>T9105</t>
  </si>
  <si>
    <t>FAGLIE FARMS</t>
  </si>
  <si>
    <t>WALLACE FARMS</t>
  </si>
  <si>
    <t>WALT NORRIS</t>
  </si>
  <si>
    <t>8335R</t>
  </si>
  <si>
    <t>DOUGLAS HARRIS</t>
  </si>
  <si>
    <t>9570R</t>
  </si>
  <si>
    <t>TUCKER ROSS</t>
  </si>
  <si>
    <t>410R</t>
  </si>
  <si>
    <t>TEXAS BOYS RANCH</t>
  </si>
  <si>
    <t>5085E</t>
  </si>
  <si>
    <t>BENT POLE FARM AND RANCH LLC</t>
  </si>
  <si>
    <t>550K</t>
  </si>
  <si>
    <t>333G</t>
  </si>
  <si>
    <t>TOM &amp; SHANNON GREGORY FARMS JV</t>
  </si>
  <si>
    <t>CHRIS SNODGRASS FARMS</t>
  </si>
  <si>
    <t>XUV 845R</t>
  </si>
  <si>
    <t>TRIANGLE FARMS</t>
  </si>
  <si>
    <t>8260R</t>
  </si>
  <si>
    <t>ALAN SANDBOTHE</t>
  </si>
  <si>
    <t>ANGEL REYES</t>
  </si>
  <si>
    <t>T9121</t>
  </si>
  <si>
    <t>CABLER CATTLE</t>
  </si>
  <si>
    <t>BRANDON AYCOCK</t>
  </si>
  <si>
    <t>BRAD AYCOCK</t>
  </si>
  <si>
    <t>Z425</t>
  </si>
  <si>
    <t>JACOB BLAIR</t>
  </si>
  <si>
    <t>E110</t>
  </si>
  <si>
    <t>NOAH TANNER</t>
  </si>
  <si>
    <t>T9163</t>
  </si>
  <si>
    <t>BRENT DAVIS</t>
  </si>
  <si>
    <t>TRULL FARMS LLC</t>
  </si>
  <si>
    <t>HARMON FARMS INC</t>
  </si>
  <si>
    <t>BECTON REID</t>
  </si>
  <si>
    <t>DON APPLE</t>
  </si>
  <si>
    <t>JACOB MUEHLSTEIN</t>
  </si>
  <si>
    <t>STEPHEN FORTENBERRY</t>
  </si>
  <si>
    <t>SETH FORTENBERRY</t>
  </si>
  <si>
    <t>D &amp; H AG ENTERPRISES INC</t>
  </si>
  <si>
    <t>8345RT</t>
  </si>
  <si>
    <t>PETERBILT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</si>
</sst>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3" xfId="0" applyFont="1" applyBorder="1" applyAlignment="1">
      <alignment horizontal="right" wrapText="1"/>
    </xf>
    <xf numFmtId="0" fontId="4" fillId="0" borderId="1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3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9" fontId="3" fillId="0" borderId="1" xfId="1" applyFont="1" applyBorder="1" applyProtection="1"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14" fontId="6" fillId="0" borderId="1" xfId="0" applyNumberFormat="1" applyFont="1" applyBorder="1" applyProtection="1">
      <protection locked="0"/>
    </xf>
    <xf numFmtId="2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7" fillId="3" borderId="1" xfId="0" applyFont="1" applyFill="1" applyBorder="1"/>
    <xf numFmtId="0" fontId="7" fillId="4" borderId="1" xfId="0" applyFont="1" applyFill="1" applyBorder="1"/>
    <xf numFmtId="0" fontId="6" fillId="0" borderId="0" xfId="0" applyFont="1"/>
    <xf numFmtId="0" fontId="7" fillId="0" borderId="0" xfId="0" applyFont="1"/>
    <xf numFmtId="0" fontId="7" fillId="2" borderId="1" xfId="0" applyFont="1" applyFill="1" applyBorder="1"/>
    <xf numFmtId="0" fontId="7" fillId="2" borderId="1" xfId="0" applyFont="1" applyFill="1" applyBorder="1" applyProtection="1">
      <protection locked="0"/>
    </xf>
    <xf numFmtId="0" fontId="7" fillId="5" borderId="1" xfId="0" applyFont="1" applyFill="1" applyBorder="1"/>
    <xf numFmtId="0" fontId="7" fillId="5" borderId="1" xfId="0" applyFont="1" applyFill="1" applyBorder="1" applyProtection="1">
      <protection locked="0"/>
    </xf>
    <xf numFmtId="0" fontId="7" fillId="7" borderId="1" xfId="0" applyFont="1" applyFill="1" applyBorder="1"/>
    <xf numFmtId="0" fontId="7" fillId="7" borderId="1" xfId="0" applyFont="1" applyFill="1" applyBorder="1" applyProtection="1">
      <protection locked="0"/>
    </xf>
    <xf numFmtId="0" fontId="6" fillId="6" borderId="0" xfId="0" applyFont="1" applyFill="1"/>
    <xf numFmtId="0" fontId="4" fillId="0" borderId="1" xfId="0" applyFont="1" applyBorder="1" applyAlignment="1">
      <alignment horizontal="center"/>
    </xf>
    <xf numFmtId="14" fontId="4" fillId="2" borderId="5" xfId="0" applyNumberFormat="1" applyFont="1" applyFill="1" applyBorder="1" applyAlignment="1" applyProtection="1">
      <alignment horizontal="center"/>
      <protection locked="0"/>
    </xf>
    <xf numFmtId="14" fontId="4" fillId="2" borderId="4" xfId="0" applyNumberFormat="1" applyFont="1" applyFill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C619-60B4-4DA7-A43D-4ABE4787F715}">
  <dimension ref="B1:S46"/>
  <sheetViews>
    <sheetView workbookViewId="0">
      <selection activeCell="I16" sqref="I16"/>
    </sheetView>
  </sheetViews>
  <sheetFormatPr defaultRowHeight="1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/>
    <row r="2" spans="2:15" ht="21" customHeight="1">
      <c r="B2" s="2" t="s">
        <v>0</v>
      </c>
      <c r="C2" s="28" t="s">
        <v>1</v>
      </c>
      <c r="D2" s="28"/>
      <c r="E2" s="28"/>
      <c r="K2" s="3"/>
      <c r="L2" s="31" t="s">
        <v>2</v>
      </c>
      <c r="M2" s="32"/>
      <c r="N2" s="31" t="s">
        <v>3</v>
      </c>
      <c r="O2" s="32"/>
    </row>
    <row r="3" spans="2:15" ht="21" customHeight="1">
      <c r="B3" s="2" t="s">
        <v>4</v>
      </c>
      <c r="C3" s="4" t="s">
        <v>5</v>
      </c>
      <c r="D3" s="3"/>
      <c r="E3" s="3"/>
      <c r="J3" s="28" t="s">
        <v>6</v>
      </c>
      <c r="K3" s="28"/>
      <c r="L3" s="28"/>
      <c r="M3" s="28"/>
      <c r="N3" s="29">
        <v>46104</v>
      </c>
      <c r="O3" s="30"/>
    </row>
    <row r="4" spans="2:15" ht="21" customHeight="1">
      <c r="B4" s="2" t="s">
        <v>7</v>
      </c>
      <c r="C4" s="4">
        <v>5</v>
      </c>
      <c r="J4" s="28" t="s">
        <v>8</v>
      </c>
      <c r="K4" s="28"/>
      <c r="L4" s="28"/>
      <c r="M4" s="28"/>
      <c r="N4" s="29">
        <v>46117</v>
      </c>
      <c r="O4" s="30"/>
    </row>
    <row r="5" spans="2:15" ht="10.5" customHeight="1" thickBot="1"/>
    <row r="6" spans="2:15" ht="48" customHeight="1">
      <c r="B6" s="5" t="s">
        <v>9</v>
      </c>
      <c r="C6" s="6" t="s">
        <v>10</v>
      </c>
      <c r="D6" s="6" t="s">
        <v>11</v>
      </c>
      <c r="E6" s="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2" t="s">
        <v>21</v>
      </c>
      <c r="O6" s="13" t="s">
        <v>22</v>
      </c>
    </row>
    <row r="7" spans="2:15" s="10" customFormat="1" ht="15" customHeight="1">
      <c r="B7" s="7"/>
      <c r="C7" s="8"/>
      <c r="D7" s="7"/>
      <c r="E7" s="9"/>
      <c r="F7" s="14"/>
      <c r="G7" s="15"/>
      <c r="H7" s="14"/>
      <c r="I7" s="15"/>
      <c r="J7" s="14"/>
      <c r="K7" s="15"/>
      <c r="L7" s="14"/>
      <c r="M7" s="15"/>
      <c r="N7" s="16"/>
      <c r="O7" s="16"/>
    </row>
    <row r="8" spans="2:15" s="10" customFormat="1" ht="15" customHeight="1">
      <c r="B8" s="7"/>
      <c r="C8" s="8"/>
      <c r="D8" s="7"/>
      <c r="E8" s="9"/>
      <c r="F8" s="14"/>
      <c r="G8" s="15"/>
      <c r="H8" s="14"/>
      <c r="I8" s="15"/>
      <c r="J8" s="14"/>
      <c r="K8" s="15"/>
      <c r="L8" s="14"/>
      <c r="M8" s="15"/>
      <c r="N8" s="16"/>
      <c r="O8" s="16"/>
    </row>
    <row r="9" spans="2:15" s="10" customFormat="1" ht="15" customHeight="1">
      <c r="B9" s="7"/>
      <c r="C9" s="8"/>
      <c r="D9" s="7"/>
      <c r="E9" s="9"/>
      <c r="F9" s="14"/>
      <c r="G9" s="15"/>
      <c r="H9" s="14"/>
      <c r="I9" s="15"/>
      <c r="J9" s="14"/>
      <c r="K9" s="15"/>
      <c r="L9" s="14"/>
      <c r="M9" s="15"/>
      <c r="N9" s="16"/>
      <c r="O9" s="16"/>
    </row>
    <row r="10" spans="2:15" s="10" customFormat="1" ht="15" customHeight="1">
      <c r="B10" s="7"/>
      <c r="C10" s="8"/>
      <c r="D10" s="7"/>
      <c r="E10" s="9"/>
      <c r="F10" s="14"/>
      <c r="G10" s="15"/>
      <c r="H10" s="14"/>
      <c r="I10" s="15"/>
      <c r="J10" s="14"/>
      <c r="K10" s="15"/>
      <c r="L10" s="14"/>
      <c r="M10" s="15"/>
      <c r="N10" s="16"/>
      <c r="O10" s="16"/>
    </row>
    <row r="11" spans="2:15" s="10" customFormat="1" ht="15" customHeight="1">
      <c r="B11" s="7"/>
      <c r="C11" s="8"/>
      <c r="D11" s="7"/>
      <c r="E11" s="9"/>
      <c r="F11" s="14"/>
      <c r="G11" s="15"/>
      <c r="H11" s="14"/>
      <c r="I11" s="15"/>
      <c r="J11" s="14"/>
      <c r="K11" s="15"/>
      <c r="L11" s="14"/>
      <c r="M11" s="15"/>
      <c r="N11" s="16"/>
      <c r="O11" s="16"/>
    </row>
    <row r="12" spans="2:15" s="10" customFormat="1" ht="15" customHeight="1">
      <c r="B12" s="7"/>
      <c r="C12" s="8"/>
      <c r="D12" s="7"/>
      <c r="E12" s="9"/>
      <c r="F12" s="14"/>
      <c r="G12" s="15"/>
      <c r="H12" s="14"/>
      <c r="I12" s="15"/>
      <c r="J12" s="14"/>
      <c r="K12" s="15"/>
      <c r="L12" s="14"/>
      <c r="M12" s="15"/>
      <c r="N12" s="16"/>
      <c r="O12" s="16"/>
    </row>
    <row r="13" spans="2:15" s="10" customFormat="1" ht="15" customHeight="1">
      <c r="B13" s="7"/>
      <c r="C13" s="8"/>
      <c r="D13" s="7"/>
      <c r="E13" s="9"/>
      <c r="F13" s="14"/>
      <c r="G13" s="15"/>
      <c r="H13" s="14"/>
      <c r="I13" s="15"/>
      <c r="J13" s="14"/>
      <c r="K13" s="15"/>
      <c r="L13" s="14"/>
      <c r="M13" s="15"/>
      <c r="N13" s="16"/>
      <c r="O13" s="16"/>
    </row>
    <row r="14" spans="2:15" s="10" customFormat="1" ht="15" customHeight="1">
      <c r="B14" s="7"/>
      <c r="C14" s="8"/>
      <c r="D14" s="7"/>
      <c r="E14" s="9"/>
      <c r="F14" s="14"/>
      <c r="G14" s="15"/>
      <c r="H14" s="14"/>
      <c r="I14" s="15"/>
      <c r="J14" s="14"/>
      <c r="K14" s="15"/>
      <c r="L14" s="14"/>
      <c r="M14" s="15"/>
      <c r="N14" s="16"/>
      <c r="O14" s="16"/>
    </row>
    <row r="15" spans="2:15" s="10" customFormat="1" ht="15" customHeight="1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>
      <c r="B42" s="17" t="s">
        <v>23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0</v>
      </c>
      <c r="O42" s="17">
        <f>SUM(O7:O41)</f>
        <v>0</v>
      </c>
      <c r="R42" s="20"/>
      <c r="S42" s="20"/>
    </row>
    <row r="43" spans="2:19" s="19" customFormat="1" ht="21.95" customHeight="1">
      <c r="B43" s="21" t="s">
        <v>24</v>
      </c>
      <c r="C43" s="22">
        <v>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>
      <c r="B44" s="23" t="s">
        <v>25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>
      <c r="B45" s="25" t="s">
        <v>26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>
      <c r="B46" s="27" t="s">
        <v>27</v>
      </c>
      <c r="C46" s="27"/>
    </row>
  </sheetData>
  <sheetProtection algorithmName="SHA-512" hashValue="nTHqJRBnyYbPODVp5oBtsE/6bsNLf6M8Uaorfdm6slj4GCsK7P4TwfLfRdv+I2akzRw0T5i8DD3uevkuFyuL1Q==" saltValue="y/Kh/daEcdarigCKjqfcBQ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0E01-28ED-47AC-A22E-15CE51E37E91}">
  <sheetPr>
    <pageSetUpPr fitToPage="1"/>
  </sheetPr>
  <dimension ref="B1:S46"/>
  <sheetViews>
    <sheetView workbookViewId="0">
      <selection activeCell="E37" sqref="E37"/>
    </sheetView>
  </sheetViews>
  <sheetFormatPr defaultRowHeight="1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/>
    <row r="2" spans="2:15" ht="21" customHeight="1">
      <c r="B2" s="2" t="s">
        <v>0</v>
      </c>
      <c r="C2" s="28" t="s">
        <v>28</v>
      </c>
      <c r="D2" s="28"/>
      <c r="E2" s="28"/>
      <c r="K2" s="3"/>
      <c r="L2" s="31" t="s">
        <v>2</v>
      </c>
      <c r="M2" s="32"/>
      <c r="N2" s="31" t="s">
        <v>3</v>
      </c>
      <c r="O2" s="32"/>
    </row>
    <row r="3" spans="2:15" ht="21" customHeight="1">
      <c r="B3" s="2" t="s">
        <v>4</v>
      </c>
      <c r="C3" s="4" t="s">
        <v>29</v>
      </c>
      <c r="D3" s="3"/>
      <c r="E3" s="3"/>
      <c r="J3" s="28" t="s">
        <v>6</v>
      </c>
      <c r="K3" s="28"/>
      <c r="L3" s="28"/>
      <c r="M3" s="28"/>
      <c r="N3" s="29">
        <v>46104</v>
      </c>
      <c r="O3" s="30"/>
    </row>
    <row r="4" spans="2:15" ht="21" customHeight="1">
      <c r="B4" s="2" t="s">
        <v>7</v>
      </c>
      <c r="C4" s="4">
        <v>5</v>
      </c>
      <c r="J4" s="28" t="s">
        <v>8</v>
      </c>
      <c r="K4" s="28"/>
      <c r="L4" s="28"/>
      <c r="M4" s="28"/>
      <c r="N4" s="29">
        <v>46117</v>
      </c>
      <c r="O4" s="30"/>
    </row>
    <row r="5" spans="2:15" ht="10.5" customHeight="1" thickBot="1"/>
    <row r="6" spans="2:15" ht="48" customHeight="1">
      <c r="B6" s="5" t="s">
        <v>9</v>
      </c>
      <c r="C6" s="6" t="s">
        <v>10</v>
      </c>
      <c r="D6" s="6" t="s">
        <v>11</v>
      </c>
      <c r="E6" s="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2" t="s">
        <v>21</v>
      </c>
      <c r="O6" s="13" t="s">
        <v>22</v>
      </c>
    </row>
    <row r="7" spans="2:15" s="10" customFormat="1" ht="15" customHeight="1">
      <c r="B7" s="7" t="s">
        <v>30</v>
      </c>
      <c r="C7" s="8" t="s">
        <v>31</v>
      </c>
      <c r="D7" s="7">
        <v>686544</v>
      </c>
      <c r="E7" s="9">
        <v>1</v>
      </c>
      <c r="F7" s="14"/>
      <c r="G7" s="15"/>
      <c r="H7" s="14"/>
      <c r="I7" s="15"/>
      <c r="J7" s="14"/>
      <c r="K7" s="15"/>
      <c r="L7" s="14"/>
      <c r="M7" s="15"/>
      <c r="N7" s="16">
        <v>8.1</v>
      </c>
      <c r="O7" s="16"/>
    </row>
    <row r="8" spans="2:15" s="10" customFormat="1" ht="15" customHeight="1">
      <c r="B8" s="7" t="s">
        <v>32</v>
      </c>
      <c r="C8" s="8" t="s">
        <v>33</v>
      </c>
      <c r="D8" s="7">
        <v>684390</v>
      </c>
      <c r="E8" s="9">
        <v>1</v>
      </c>
      <c r="F8" s="14">
        <v>46075</v>
      </c>
      <c r="G8" s="15">
        <v>10</v>
      </c>
      <c r="H8" s="14"/>
      <c r="I8" s="15"/>
      <c r="J8" s="14"/>
      <c r="K8" s="15"/>
      <c r="L8" s="14">
        <v>46117</v>
      </c>
      <c r="M8" s="15">
        <v>4.7</v>
      </c>
      <c r="N8" s="16">
        <v>4.7</v>
      </c>
      <c r="O8" s="16"/>
    </row>
    <row r="9" spans="2:15" s="10" customFormat="1" ht="15" customHeight="1">
      <c r="B9" s="7" t="s">
        <v>34</v>
      </c>
      <c r="C9" s="8" t="s">
        <v>35</v>
      </c>
      <c r="D9" s="7">
        <v>686718</v>
      </c>
      <c r="E9" s="9">
        <v>1</v>
      </c>
      <c r="F9" s="14"/>
      <c r="G9" s="15"/>
      <c r="H9" s="14"/>
      <c r="I9" s="15"/>
      <c r="J9" s="14"/>
      <c r="K9" s="15"/>
      <c r="L9" s="14"/>
      <c r="M9" s="15"/>
      <c r="N9" s="16">
        <v>2.5</v>
      </c>
      <c r="O9" s="16"/>
    </row>
    <row r="10" spans="2:15" s="10" customFormat="1" ht="15" customHeight="1">
      <c r="B10" s="7" t="s">
        <v>34</v>
      </c>
      <c r="C10" s="8" t="s">
        <v>35</v>
      </c>
      <c r="D10" s="7">
        <v>686658</v>
      </c>
      <c r="E10" s="9">
        <v>1</v>
      </c>
      <c r="F10" s="14"/>
      <c r="G10" s="15"/>
      <c r="H10" s="14"/>
      <c r="I10" s="15"/>
      <c r="J10" s="14"/>
      <c r="K10" s="15"/>
      <c r="L10" s="14"/>
      <c r="M10" s="15"/>
      <c r="N10" s="16">
        <v>11</v>
      </c>
      <c r="O10" s="16"/>
    </row>
    <row r="11" spans="2:15" s="10" customFormat="1" ht="15" customHeight="1">
      <c r="B11" s="7" t="s">
        <v>36</v>
      </c>
      <c r="C11" s="8">
        <v>4630</v>
      </c>
      <c r="D11" s="7">
        <v>685384</v>
      </c>
      <c r="E11" s="9">
        <v>1</v>
      </c>
      <c r="F11" s="14"/>
      <c r="G11" s="15"/>
      <c r="H11" s="14"/>
      <c r="I11" s="15"/>
      <c r="J11" s="14"/>
      <c r="K11" s="15"/>
      <c r="L11" s="14"/>
      <c r="M11" s="15"/>
      <c r="N11" s="16">
        <v>32.159999999999997</v>
      </c>
      <c r="O11" s="16"/>
    </row>
    <row r="12" spans="2:15" s="10" customFormat="1" ht="15" customHeight="1">
      <c r="B12" s="7" t="s">
        <v>34</v>
      </c>
      <c r="C12" s="8" t="s">
        <v>37</v>
      </c>
      <c r="D12" s="7">
        <v>685313</v>
      </c>
      <c r="E12" s="9">
        <v>1</v>
      </c>
      <c r="F12" s="14"/>
      <c r="G12" s="15"/>
      <c r="H12" s="14"/>
      <c r="I12" s="15"/>
      <c r="J12" s="14"/>
      <c r="K12" s="15"/>
      <c r="L12" s="14"/>
      <c r="M12" s="15"/>
      <c r="N12" s="16">
        <v>1</v>
      </c>
      <c r="O12" s="16"/>
    </row>
    <row r="13" spans="2:15" s="10" customFormat="1" ht="15" customHeight="1">
      <c r="B13" s="7" t="s">
        <v>38</v>
      </c>
      <c r="C13" s="8">
        <v>4730</v>
      </c>
      <c r="D13" s="7">
        <v>686132</v>
      </c>
      <c r="E13" s="9">
        <v>1</v>
      </c>
      <c r="F13" s="14"/>
      <c r="G13" s="15"/>
      <c r="H13" s="14"/>
      <c r="I13" s="15"/>
      <c r="J13" s="14"/>
      <c r="K13" s="15"/>
      <c r="L13" s="14"/>
      <c r="M13" s="15"/>
      <c r="N13" s="16">
        <v>23.16</v>
      </c>
      <c r="O13" s="16"/>
    </row>
    <row r="14" spans="2:15" s="10" customFormat="1" ht="15" customHeight="1">
      <c r="B14" s="7" t="s">
        <v>39</v>
      </c>
      <c r="C14" s="8" t="s">
        <v>40</v>
      </c>
      <c r="D14" s="7">
        <v>683928</v>
      </c>
      <c r="E14" s="9">
        <v>1</v>
      </c>
      <c r="F14" s="14"/>
      <c r="G14" s="15"/>
      <c r="H14" s="14"/>
      <c r="I14" s="15"/>
      <c r="J14" s="14"/>
      <c r="K14" s="15"/>
      <c r="L14" s="14"/>
      <c r="M14" s="15"/>
      <c r="N14" s="16">
        <v>1.65</v>
      </c>
      <c r="O14" s="16"/>
    </row>
    <row r="15" spans="2:15" s="10" customFormat="1" ht="15" customHeight="1">
      <c r="B15" s="7" t="s">
        <v>41</v>
      </c>
      <c r="C15" s="8" t="s">
        <v>33</v>
      </c>
      <c r="D15" s="7">
        <v>686912</v>
      </c>
      <c r="E15" s="9">
        <v>1</v>
      </c>
      <c r="F15" s="14"/>
      <c r="G15" s="15"/>
      <c r="H15" s="14"/>
      <c r="I15" s="15"/>
      <c r="J15" s="14"/>
      <c r="K15" s="15"/>
      <c r="L15" s="14"/>
      <c r="M15" s="15"/>
      <c r="N15" s="16">
        <v>8.1</v>
      </c>
      <c r="O15" s="16"/>
    </row>
    <row r="16" spans="2:15" s="10" customFormat="1" ht="15" customHeight="1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>
      <c r="B42" s="17" t="s">
        <v>23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92.36999999999999</v>
      </c>
      <c r="O42" s="17">
        <f>SUM(O7:O41)</f>
        <v>0</v>
      </c>
      <c r="R42" s="20"/>
      <c r="S42" s="20"/>
    </row>
    <row r="43" spans="2:19" s="19" customFormat="1" ht="21.95" customHeight="1">
      <c r="B43" s="21" t="s">
        <v>24</v>
      </c>
      <c r="C43" s="22">
        <v>9.5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>
      <c r="B44" s="23" t="s">
        <v>25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>
      <c r="B45" s="25" t="s">
        <v>26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>
      <c r="B46" s="27" t="s">
        <v>27</v>
      </c>
      <c r="C46" s="27"/>
    </row>
  </sheetData>
  <sheetProtection algorithmName="SHA-512" hashValue="yfCllhDv1tM6wUMq86mxS0bQ9eYi7XvoQ2UdeJd6ZazT+BDPklAYpNf5i3hvsV8gzaQGVHcpSVAFSBGq7iQSmQ==" saltValue="/SbSA3dkSNEpHZJk5oQiQA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CBA7-5028-4648-8124-79CC05038A0F}">
  <sheetPr>
    <pageSetUpPr fitToPage="1"/>
  </sheetPr>
  <dimension ref="B1:S46"/>
  <sheetViews>
    <sheetView workbookViewId="0">
      <selection activeCell="C30" sqref="C30"/>
    </sheetView>
  </sheetViews>
  <sheetFormatPr defaultRowHeight="1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/>
    <row r="2" spans="2:15" ht="21" customHeight="1">
      <c r="B2" s="2" t="s">
        <v>0</v>
      </c>
      <c r="C2" s="28" t="s">
        <v>42</v>
      </c>
      <c r="D2" s="28"/>
      <c r="E2" s="28"/>
      <c r="K2" s="3"/>
      <c r="L2" s="31" t="s">
        <v>2</v>
      </c>
      <c r="M2" s="32"/>
      <c r="N2" s="31" t="s">
        <v>3</v>
      </c>
      <c r="O2" s="32"/>
    </row>
    <row r="3" spans="2:15" ht="21" customHeight="1">
      <c r="B3" s="2" t="s">
        <v>4</v>
      </c>
      <c r="C3" s="4" t="s">
        <v>43</v>
      </c>
      <c r="D3" s="3"/>
      <c r="E3" s="3"/>
      <c r="J3" s="28" t="s">
        <v>6</v>
      </c>
      <c r="K3" s="28"/>
      <c r="L3" s="28"/>
      <c r="M3" s="28"/>
      <c r="N3" s="29">
        <v>46104</v>
      </c>
      <c r="O3" s="30"/>
    </row>
    <row r="4" spans="2:15" ht="21" customHeight="1">
      <c r="B4" s="2" t="s">
        <v>7</v>
      </c>
      <c r="C4" s="4">
        <v>5</v>
      </c>
      <c r="J4" s="28" t="s">
        <v>8</v>
      </c>
      <c r="K4" s="28"/>
      <c r="L4" s="28"/>
      <c r="M4" s="28"/>
      <c r="N4" s="29">
        <v>46117</v>
      </c>
      <c r="O4" s="30"/>
    </row>
    <row r="5" spans="2:15" ht="10.5" customHeight="1" thickBot="1"/>
    <row r="6" spans="2:15" ht="48" customHeight="1">
      <c r="B6" s="5" t="s">
        <v>9</v>
      </c>
      <c r="C6" s="6" t="s">
        <v>10</v>
      </c>
      <c r="D6" s="6" t="s">
        <v>11</v>
      </c>
      <c r="E6" s="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2" t="s">
        <v>21</v>
      </c>
      <c r="O6" s="13" t="s">
        <v>22</v>
      </c>
    </row>
    <row r="7" spans="2:15" s="10" customFormat="1" ht="15" customHeight="1">
      <c r="B7" s="7" t="s">
        <v>36</v>
      </c>
      <c r="C7" s="8" t="s">
        <v>44</v>
      </c>
      <c r="D7" s="7">
        <v>685602</v>
      </c>
      <c r="E7" s="9">
        <v>1</v>
      </c>
      <c r="F7" s="14">
        <v>46089</v>
      </c>
      <c r="G7" s="15">
        <v>21</v>
      </c>
      <c r="H7" s="14">
        <v>46103</v>
      </c>
      <c r="I7" s="15">
        <v>24</v>
      </c>
      <c r="J7" s="14"/>
      <c r="K7" s="15"/>
      <c r="L7" s="14">
        <v>38812</v>
      </c>
      <c r="M7" s="15">
        <v>3.33</v>
      </c>
      <c r="N7" s="16">
        <v>3.33</v>
      </c>
      <c r="O7" s="16"/>
    </row>
    <row r="8" spans="2:15" s="10" customFormat="1" ht="15" customHeight="1">
      <c r="B8" s="7" t="s">
        <v>45</v>
      </c>
      <c r="C8" s="8" t="s">
        <v>33</v>
      </c>
      <c r="D8" s="7">
        <v>686312</v>
      </c>
      <c r="E8" s="9">
        <v>1</v>
      </c>
      <c r="F8" s="14">
        <v>46103</v>
      </c>
      <c r="G8" s="15">
        <v>10</v>
      </c>
      <c r="H8" s="14"/>
      <c r="I8" s="15"/>
      <c r="J8" s="14"/>
      <c r="K8" s="15"/>
      <c r="L8" s="14">
        <v>46117</v>
      </c>
      <c r="M8" s="15">
        <v>2.62</v>
      </c>
      <c r="N8" s="16">
        <v>2.62</v>
      </c>
      <c r="O8" s="16"/>
    </row>
    <row r="9" spans="2:15" s="10" customFormat="1" ht="15" customHeight="1">
      <c r="B9" s="7" t="s">
        <v>46</v>
      </c>
      <c r="C9" s="8" t="s">
        <v>33</v>
      </c>
      <c r="D9" s="7">
        <v>686366</v>
      </c>
      <c r="E9" s="9">
        <v>1</v>
      </c>
      <c r="F9" s="14">
        <v>46103</v>
      </c>
      <c r="G9" s="15">
        <v>10</v>
      </c>
      <c r="H9" s="14"/>
      <c r="I9" s="15"/>
      <c r="J9" s="14"/>
      <c r="K9" s="15"/>
      <c r="L9" s="14">
        <v>46117</v>
      </c>
      <c r="M9" s="15">
        <v>6.95</v>
      </c>
      <c r="N9" s="16">
        <v>6.95</v>
      </c>
      <c r="O9" s="16"/>
    </row>
    <row r="10" spans="2:15" s="10" customFormat="1" ht="15" customHeight="1">
      <c r="B10" s="7" t="s">
        <v>34</v>
      </c>
      <c r="C10" s="8" t="s">
        <v>37</v>
      </c>
      <c r="D10" s="7">
        <v>685313</v>
      </c>
      <c r="E10" s="9">
        <v>1</v>
      </c>
      <c r="F10" s="14"/>
      <c r="G10" s="15"/>
      <c r="H10" s="14"/>
      <c r="I10" s="15"/>
      <c r="J10" s="14"/>
      <c r="K10" s="15"/>
      <c r="L10" s="14"/>
      <c r="M10" s="15"/>
      <c r="N10" s="16">
        <v>1</v>
      </c>
      <c r="O10" s="16"/>
    </row>
    <row r="11" spans="2:15" s="10" customFormat="1" ht="15" customHeight="1">
      <c r="B11" s="7" t="s">
        <v>47</v>
      </c>
      <c r="C11" s="8">
        <v>8320</v>
      </c>
      <c r="D11" s="7">
        <v>686687</v>
      </c>
      <c r="E11" s="9"/>
      <c r="F11" s="14">
        <v>46117</v>
      </c>
      <c r="G11" s="15">
        <v>34</v>
      </c>
      <c r="H11" s="14"/>
      <c r="I11" s="15"/>
      <c r="J11" s="14"/>
      <c r="K11" s="15"/>
      <c r="L11" s="14"/>
      <c r="M11" s="15"/>
      <c r="N11" s="16">
        <v>34</v>
      </c>
      <c r="O11" s="16"/>
    </row>
    <row r="12" spans="2:15" s="10" customFormat="1" ht="15" customHeight="1">
      <c r="B12" s="7" t="s">
        <v>48</v>
      </c>
      <c r="C12" s="8" t="s">
        <v>31</v>
      </c>
      <c r="D12" s="7">
        <v>687302</v>
      </c>
      <c r="E12" s="9"/>
      <c r="F12" s="14">
        <v>46117</v>
      </c>
      <c r="G12" s="15">
        <v>12</v>
      </c>
      <c r="H12" s="14"/>
      <c r="I12" s="15"/>
      <c r="J12" s="14"/>
      <c r="K12" s="15"/>
      <c r="L12" s="14"/>
      <c r="M12" s="15"/>
      <c r="N12" s="16">
        <v>12</v>
      </c>
      <c r="O12" s="16"/>
    </row>
    <row r="13" spans="2:15" s="10" customFormat="1" ht="15" customHeight="1">
      <c r="B13" s="7"/>
      <c r="C13" s="8"/>
      <c r="D13" s="7"/>
      <c r="E13" s="9"/>
      <c r="F13" s="14"/>
      <c r="G13" s="15"/>
      <c r="H13" s="14"/>
      <c r="I13" s="15"/>
      <c r="J13" s="14"/>
      <c r="K13" s="15"/>
      <c r="L13" s="14"/>
      <c r="M13" s="15"/>
      <c r="N13" s="16"/>
      <c r="O13" s="16"/>
    </row>
    <row r="14" spans="2:15" s="10" customFormat="1" ht="15" customHeight="1">
      <c r="B14" s="7"/>
      <c r="C14" s="8"/>
      <c r="D14" s="7"/>
      <c r="E14" s="9"/>
      <c r="F14" s="14"/>
      <c r="G14" s="15"/>
      <c r="H14" s="14"/>
      <c r="I14" s="15"/>
      <c r="J14" s="14"/>
      <c r="K14" s="15"/>
      <c r="L14" s="14"/>
      <c r="M14" s="15"/>
      <c r="N14" s="16"/>
      <c r="O14" s="16"/>
    </row>
    <row r="15" spans="2:15" s="10" customFormat="1" ht="15" customHeight="1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>
      <c r="B42" s="17" t="s">
        <v>23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59.9</v>
      </c>
      <c r="O42" s="17">
        <f>SUM(O7:O41)</f>
        <v>0</v>
      </c>
      <c r="R42" s="20"/>
      <c r="S42" s="20"/>
    </row>
    <row r="43" spans="2:19" s="19" customFormat="1" ht="21.95" customHeight="1">
      <c r="B43" s="21" t="s">
        <v>24</v>
      </c>
      <c r="C43" s="22">
        <v>9.5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>
      <c r="B44" s="23" t="s">
        <v>25</v>
      </c>
      <c r="C44" s="24">
        <v>15.5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>
      <c r="B45" s="25" t="s">
        <v>26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>
      <c r="B46" s="27" t="s">
        <v>27</v>
      </c>
      <c r="C46" s="27"/>
    </row>
  </sheetData>
  <sheetProtection algorithmName="SHA-512" hashValue="5mYtK0MwtavZJG0HwUo151K+zYtx/RuPruGdgIEBipQp9ob6Aiq7ZFjmS6BdjKwD66iSSPs1QYuwoZfrdBa7ig==" saltValue="NRRbvy/SkPiS+x02p87G3Q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F3EF-3966-4F21-9866-131D6DD54BDD}">
  <sheetPr>
    <pageSetUpPr fitToPage="1"/>
  </sheetPr>
  <dimension ref="B1:S46"/>
  <sheetViews>
    <sheetView topLeftCell="A5" workbookViewId="0">
      <selection activeCell="N22" sqref="N22"/>
    </sheetView>
  </sheetViews>
  <sheetFormatPr defaultRowHeight="1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/>
    <row r="2" spans="2:15" ht="21" customHeight="1">
      <c r="B2" s="2" t="s">
        <v>0</v>
      </c>
      <c r="C2" s="28" t="s">
        <v>49</v>
      </c>
      <c r="D2" s="28"/>
      <c r="E2" s="28"/>
      <c r="K2" s="3"/>
      <c r="L2" s="31" t="s">
        <v>2</v>
      </c>
      <c r="M2" s="32"/>
      <c r="N2" s="31" t="s">
        <v>3</v>
      </c>
      <c r="O2" s="32"/>
    </row>
    <row r="3" spans="2:15" ht="21" customHeight="1">
      <c r="B3" s="2" t="s">
        <v>4</v>
      </c>
      <c r="C3" s="4" t="s">
        <v>50</v>
      </c>
      <c r="D3" s="3"/>
      <c r="E3" s="3"/>
      <c r="J3" s="28" t="s">
        <v>6</v>
      </c>
      <c r="K3" s="28"/>
      <c r="L3" s="28"/>
      <c r="M3" s="28"/>
      <c r="N3" s="29">
        <v>46104</v>
      </c>
      <c r="O3" s="30"/>
    </row>
    <row r="4" spans="2:15" ht="21" customHeight="1">
      <c r="B4" s="2" t="s">
        <v>7</v>
      </c>
      <c r="C4" s="4">
        <v>3</v>
      </c>
      <c r="J4" s="28" t="s">
        <v>8</v>
      </c>
      <c r="K4" s="28"/>
      <c r="L4" s="28"/>
      <c r="M4" s="28"/>
      <c r="N4" s="29">
        <v>46117</v>
      </c>
      <c r="O4" s="30"/>
    </row>
    <row r="5" spans="2:15" ht="10.5" customHeight="1" thickBot="1"/>
    <row r="6" spans="2:15" ht="48" customHeight="1">
      <c r="B6" s="5" t="s">
        <v>9</v>
      </c>
      <c r="C6" s="6" t="s">
        <v>10</v>
      </c>
      <c r="D6" s="6" t="s">
        <v>11</v>
      </c>
      <c r="E6" s="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2" t="s">
        <v>21</v>
      </c>
      <c r="O6" s="13" t="s">
        <v>22</v>
      </c>
    </row>
    <row r="7" spans="2:15" s="10" customFormat="1" ht="15" customHeight="1">
      <c r="B7" s="7" t="s">
        <v>51</v>
      </c>
      <c r="C7" s="8">
        <v>939835</v>
      </c>
      <c r="D7" s="7">
        <v>685314</v>
      </c>
      <c r="E7" s="9">
        <v>1</v>
      </c>
      <c r="F7" s="14"/>
      <c r="G7" s="15"/>
      <c r="H7" s="14"/>
      <c r="I7" s="15"/>
      <c r="J7" s="14"/>
      <c r="K7" s="15"/>
      <c r="L7" s="14"/>
      <c r="M7" s="15"/>
      <c r="N7" s="16">
        <v>2.5</v>
      </c>
      <c r="O7" s="16"/>
    </row>
    <row r="8" spans="2:15" s="10" customFormat="1" ht="15" customHeight="1">
      <c r="B8" s="7" t="s">
        <v>52</v>
      </c>
      <c r="C8" s="8" t="s">
        <v>53</v>
      </c>
      <c r="D8" s="7">
        <v>685381</v>
      </c>
      <c r="E8" s="9">
        <v>1</v>
      </c>
      <c r="F8" s="14"/>
      <c r="G8" s="15"/>
      <c r="H8" s="14"/>
      <c r="I8" s="15"/>
      <c r="J8" s="14"/>
      <c r="K8" s="15"/>
      <c r="L8" s="14"/>
      <c r="M8" s="15"/>
      <c r="N8" s="16">
        <v>2</v>
      </c>
      <c r="O8" s="16"/>
    </row>
    <row r="9" spans="2:15" s="10" customFormat="1" ht="15" customHeight="1">
      <c r="B9" s="7" t="s">
        <v>34</v>
      </c>
      <c r="C9" s="8" t="s">
        <v>37</v>
      </c>
      <c r="D9" s="7">
        <v>685313</v>
      </c>
      <c r="E9" s="9">
        <v>1</v>
      </c>
      <c r="F9" s="14"/>
      <c r="G9" s="15"/>
      <c r="H9" s="14"/>
      <c r="I9" s="15"/>
      <c r="J9" s="14"/>
      <c r="K9" s="15"/>
      <c r="L9" s="14"/>
      <c r="M9" s="15"/>
      <c r="N9" s="16">
        <v>1</v>
      </c>
      <c r="O9" s="16"/>
    </row>
    <row r="10" spans="2:15" s="10" customFormat="1" ht="15" customHeight="1">
      <c r="B10" s="7" t="s">
        <v>36</v>
      </c>
      <c r="C10" s="8">
        <v>1700</v>
      </c>
      <c r="D10" s="7">
        <v>686741</v>
      </c>
      <c r="E10" s="9">
        <v>1</v>
      </c>
      <c r="F10" s="14"/>
      <c r="G10" s="15"/>
      <c r="H10" s="14"/>
      <c r="I10" s="15"/>
      <c r="J10" s="14"/>
      <c r="K10" s="15"/>
      <c r="L10" s="14"/>
      <c r="M10" s="15"/>
      <c r="N10" s="16">
        <v>3.08</v>
      </c>
      <c r="O10" s="16"/>
    </row>
    <row r="11" spans="2:15" s="10" customFormat="1" ht="15" customHeight="1">
      <c r="B11" s="7" t="s">
        <v>54</v>
      </c>
      <c r="C11" s="8" t="s">
        <v>55</v>
      </c>
      <c r="D11" s="7">
        <v>686138</v>
      </c>
      <c r="E11" s="9">
        <v>1</v>
      </c>
      <c r="F11" s="14"/>
      <c r="G11" s="15"/>
      <c r="H11" s="14"/>
      <c r="I11" s="15"/>
      <c r="J11" s="14"/>
      <c r="K11" s="15"/>
      <c r="L11" s="14"/>
      <c r="M11" s="15"/>
      <c r="N11" s="16">
        <v>2</v>
      </c>
      <c r="O11" s="16"/>
    </row>
    <row r="12" spans="2:15" s="10" customFormat="1" ht="15" customHeight="1">
      <c r="B12" s="7" t="s">
        <v>56</v>
      </c>
      <c r="C12" s="8">
        <v>4730</v>
      </c>
      <c r="D12" s="7">
        <v>687149</v>
      </c>
      <c r="E12" s="9">
        <v>1</v>
      </c>
      <c r="F12" s="14"/>
      <c r="G12" s="15"/>
      <c r="H12" s="14"/>
      <c r="I12" s="15"/>
      <c r="J12" s="14"/>
      <c r="K12" s="15"/>
      <c r="L12" s="14"/>
      <c r="M12" s="15"/>
      <c r="N12" s="16">
        <v>6.5</v>
      </c>
      <c r="O12" s="16"/>
    </row>
    <row r="13" spans="2:15" s="10" customFormat="1" ht="15" customHeight="1">
      <c r="B13" s="7" t="s">
        <v>57</v>
      </c>
      <c r="C13" s="8" t="s">
        <v>58</v>
      </c>
      <c r="D13" s="7">
        <v>684417</v>
      </c>
      <c r="E13" s="9"/>
      <c r="F13" s="14">
        <v>46089</v>
      </c>
      <c r="G13" s="15">
        <v>6</v>
      </c>
      <c r="H13" s="14">
        <v>46103</v>
      </c>
      <c r="I13" s="15">
        <v>50</v>
      </c>
      <c r="J13" s="14">
        <v>46117</v>
      </c>
      <c r="K13" s="15">
        <v>20</v>
      </c>
      <c r="L13" s="14"/>
      <c r="M13" s="15"/>
      <c r="N13" s="16">
        <v>20</v>
      </c>
      <c r="O13" s="16"/>
    </row>
    <row r="14" spans="2:15" s="10" customFormat="1" ht="15" customHeight="1">
      <c r="B14" s="7" t="s">
        <v>48</v>
      </c>
      <c r="C14" s="8" t="s">
        <v>58</v>
      </c>
      <c r="D14" s="7">
        <v>686682</v>
      </c>
      <c r="E14" s="9"/>
      <c r="F14" s="14">
        <v>46117</v>
      </c>
      <c r="G14" s="15">
        <v>10</v>
      </c>
      <c r="H14" s="14"/>
      <c r="I14" s="15"/>
      <c r="J14" s="14"/>
      <c r="K14" s="15"/>
      <c r="L14" s="14"/>
      <c r="M14" s="15"/>
      <c r="N14" s="16">
        <v>10</v>
      </c>
      <c r="O14" s="16"/>
    </row>
    <row r="15" spans="2:15" s="10" customFormat="1" ht="15" customHeight="1">
      <c r="B15" s="7" t="s">
        <v>48</v>
      </c>
      <c r="C15" s="8" t="s">
        <v>58</v>
      </c>
      <c r="D15" s="7">
        <v>686839</v>
      </c>
      <c r="E15" s="9"/>
      <c r="F15" s="14">
        <v>46117</v>
      </c>
      <c r="G15" s="15">
        <v>10</v>
      </c>
      <c r="H15" s="14"/>
      <c r="I15" s="15"/>
      <c r="J15" s="14"/>
      <c r="K15" s="15"/>
      <c r="L15" s="14"/>
      <c r="M15" s="15"/>
      <c r="N15" s="16">
        <v>10</v>
      </c>
      <c r="O15" s="16"/>
    </row>
    <row r="16" spans="2:15" s="10" customFormat="1" ht="15" customHeight="1">
      <c r="B16" s="7" t="s">
        <v>34</v>
      </c>
      <c r="C16" s="8" t="s">
        <v>59</v>
      </c>
      <c r="D16" s="7">
        <v>687267</v>
      </c>
      <c r="E16" s="9"/>
      <c r="F16" s="14">
        <v>46117</v>
      </c>
      <c r="G16" s="15">
        <v>4</v>
      </c>
      <c r="H16" s="14"/>
      <c r="I16" s="15"/>
      <c r="J16" s="14"/>
      <c r="K16" s="15"/>
      <c r="L16" s="14"/>
      <c r="M16" s="15"/>
      <c r="N16" s="16">
        <v>4</v>
      </c>
      <c r="O16" s="16"/>
    </row>
    <row r="17" spans="2:15" s="10" customFormat="1" ht="15" customHeight="1">
      <c r="B17" s="7" t="s">
        <v>34</v>
      </c>
      <c r="C17" s="8" t="s">
        <v>60</v>
      </c>
      <c r="D17" s="7">
        <v>684874</v>
      </c>
      <c r="E17" s="9"/>
      <c r="F17" s="14">
        <v>46117</v>
      </c>
      <c r="G17" s="15">
        <v>4</v>
      </c>
      <c r="H17" s="14"/>
      <c r="I17" s="15"/>
      <c r="J17" s="14"/>
      <c r="K17" s="15"/>
      <c r="L17" s="14"/>
      <c r="M17" s="15"/>
      <c r="N17" s="16">
        <v>4</v>
      </c>
      <c r="O17" s="16"/>
    </row>
    <row r="18" spans="2:15" s="10" customFormat="1" ht="15" customHeight="1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>
      <c r="B42" s="17" t="s">
        <v>23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65.08</v>
      </c>
      <c r="O42" s="17">
        <f>SUM(O7:O41)</f>
        <v>0</v>
      </c>
      <c r="R42" s="20"/>
      <c r="S42" s="20"/>
    </row>
    <row r="43" spans="2:19" s="19" customFormat="1" ht="21.95" customHeight="1">
      <c r="B43" s="21" t="s">
        <v>24</v>
      </c>
      <c r="C43" s="22">
        <v>9.5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>
      <c r="B44" s="23" t="s">
        <v>25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>
      <c r="B45" s="25" t="s">
        <v>26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>
      <c r="B46" s="27" t="s">
        <v>27</v>
      </c>
      <c r="C46" s="27"/>
    </row>
  </sheetData>
  <sheetProtection algorithmName="SHA-512" hashValue="UhvKCAAfZVyquG0i9y+1x13FZhr8a3INLqplzqEdwIfC553LgeoKiaUy6jSEkC+a0lBeEXv/sFTlRsvNALlBeA==" saltValue="Yl8j/mrQKhW2BklSrlPAIA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B5FD-5973-40AF-9681-96A535FCD315}">
  <sheetPr>
    <pageSetUpPr fitToPage="1"/>
  </sheetPr>
  <dimension ref="B1:S46"/>
  <sheetViews>
    <sheetView workbookViewId="0">
      <selection activeCell="E18" sqref="E18"/>
    </sheetView>
  </sheetViews>
  <sheetFormatPr defaultRowHeight="1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/>
    <row r="2" spans="2:15" ht="21" customHeight="1">
      <c r="B2" s="2" t="s">
        <v>0</v>
      </c>
      <c r="C2" s="28" t="s">
        <v>61</v>
      </c>
      <c r="D2" s="28"/>
      <c r="E2" s="28"/>
      <c r="K2" s="3"/>
      <c r="L2" s="31" t="s">
        <v>2</v>
      </c>
      <c r="M2" s="32"/>
      <c r="N2" s="31" t="s">
        <v>3</v>
      </c>
      <c r="O2" s="32"/>
    </row>
    <row r="3" spans="2:15" ht="21" customHeight="1">
      <c r="B3" s="2" t="s">
        <v>4</v>
      </c>
      <c r="C3" s="4" t="s">
        <v>62</v>
      </c>
      <c r="D3" s="3"/>
      <c r="E3" s="3"/>
      <c r="J3" s="28" t="s">
        <v>6</v>
      </c>
      <c r="K3" s="28"/>
      <c r="L3" s="28"/>
      <c r="M3" s="28"/>
      <c r="N3" s="29">
        <v>46104</v>
      </c>
      <c r="O3" s="30"/>
    </row>
    <row r="4" spans="2:15" ht="21" customHeight="1">
      <c r="B4" s="2" t="s">
        <v>7</v>
      </c>
      <c r="C4" s="4">
        <v>5</v>
      </c>
      <c r="J4" s="28" t="s">
        <v>8</v>
      </c>
      <c r="K4" s="28"/>
      <c r="L4" s="28"/>
      <c r="M4" s="28"/>
      <c r="N4" s="29">
        <v>46117</v>
      </c>
      <c r="O4" s="30"/>
    </row>
    <row r="5" spans="2:15" ht="10.5" customHeight="1" thickBot="1"/>
    <row r="6" spans="2:15" ht="48" customHeight="1">
      <c r="B6" s="5" t="s">
        <v>9</v>
      </c>
      <c r="C6" s="6" t="s">
        <v>10</v>
      </c>
      <c r="D6" s="6" t="s">
        <v>11</v>
      </c>
      <c r="E6" s="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2" t="s">
        <v>21</v>
      </c>
      <c r="O6" s="13" t="s">
        <v>22</v>
      </c>
    </row>
    <row r="7" spans="2:15" s="10" customFormat="1" ht="15" customHeight="1">
      <c r="B7" s="7" t="s">
        <v>63</v>
      </c>
      <c r="C7" s="8" t="s">
        <v>64</v>
      </c>
      <c r="D7" s="7">
        <v>686604</v>
      </c>
      <c r="E7" s="9">
        <v>1</v>
      </c>
      <c r="F7" s="14"/>
      <c r="G7" s="15"/>
      <c r="H7" s="14"/>
      <c r="I7" s="15"/>
      <c r="J7" s="14"/>
      <c r="K7" s="15"/>
      <c r="L7" s="14"/>
      <c r="M7" s="15"/>
      <c r="N7" s="16">
        <v>1.18</v>
      </c>
      <c r="O7" s="16"/>
    </row>
    <row r="8" spans="2:15" s="10" customFormat="1" ht="15" customHeight="1">
      <c r="B8" s="7" t="s">
        <v>34</v>
      </c>
      <c r="C8" s="8" t="s">
        <v>37</v>
      </c>
      <c r="D8" s="7">
        <v>685313</v>
      </c>
      <c r="E8" s="9">
        <v>1</v>
      </c>
      <c r="F8" s="14"/>
      <c r="G8" s="15"/>
      <c r="H8" s="14"/>
      <c r="I8" s="15"/>
      <c r="J8" s="14"/>
      <c r="K8" s="15"/>
      <c r="L8" s="14"/>
      <c r="M8" s="15"/>
      <c r="N8" s="16">
        <v>1</v>
      </c>
      <c r="O8" s="16"/>
    </row>
    <row r="9" spans="2:15" s="10" customFormat="1" ht="15" customHeight="1">
      <c r="B9" s="7" t="s">
        <v>34</v>
      </c>
      <c r="C9" s="8">
        <v>1500</v>
      </c>
      <c r="D9" s="7">
        <v>686644</v>
      </c>
      <c r="E9" s="9">
        <v>1</v>
      </c>
      <c r="F9" s="14">
        <v>46103</v>
      </c>
      <c r="G9" s="15">
        <v>5</v>
      </c>
      <c r="H9" s="14"/>
      <c r="I9" s="15"/>
      <c r="J9" s="14"/>
      <c r="K9" s="15"/>
      <c r="L9" s="14">
        <v>46117</v>
      </c>
      <c r="M9" s="15">
        <v>18</v>
      </c>
      <c r="N9" s="16">
        <v>18</v>
      </c>
      <c r="O9" s="16"/>
    </row>
    <row r="10" spans="2:15" s="10" customFormat="1" ht="15" customHeight="1">
      <c r="B10" s="7" t="s">
        <v>65</v>
      </c>
      <c r="C10" s="8">
        <v>7830</v>
      </c>
      <c r="D10" s="7">
        <v>686822</v>
      </c>
      <c r="E10" s="9"/>
      <c r="F10" s="14">
        <v>46117</v>
      </c>
      <c r="G10" s="15">
        <v>15</v>
      </c>
      <c r="H10" s="14"/>
      <c r="I10" s="15"/>
      <c r="J10" s="14"/>
      <c r="K10" s="15"/>
      <c r="L10" s="14"/>
      <c r="M10" s="15"/>
      <c r="N10" s="16">
        <v>15</v>
      </c>
      <c r="O10" s="16"/>
    </row>
    <row r="11" spans="2:15" s="10" customFormat="1" ht="15" customHeight="1">
      <c r="B11" s="7" t="s">
        <v>54</v>
      </c>
      <c r="C11" s="8" t="s">
        <v>55</v>
      </c>
      <c r="D11" s="7">
        <v>686138</v>
      </c>
      <c r="E11" s="9">
        <v>1</v>
      </c>
      <c r="F11" s="14"/>
      <c r="G11" s="15"/>
      <c r="H11" s="14"/>
      <c r="I11" s="15"/>
      <c r="J11" s="14"/>
      <c r="K11" s="15"/>
      <c r="L11" s="14"/>
      <c r="M11" s="15"/>
      <c r="N11" s="16">
        <v>40.83</v>
      </c>
      <c r="O11" s="16"/>
    </row>
    <row r="12" spans="2:15" s="10" customFormat="1" ht="15" customHeight="1">
      <c r="B12" s="7"/>
      <c r="C12" s="8"/>
      <c r="D12" s="7"/>
      <c r="E12" s="9"/>
      <c r="F12" s="14"/>
      <c r="G12" s="15"/>
      <c r="H12" s="14"/>
      <c r="I12" s="15"/>
      <c r="J12" s="14"/>
      <c r="K12" s="15"/>
      <c r="L12" s="14"/>
      <c r="M12" s="15"/>
      <c r="N12" s="16"/>
      <c r="O12" s="16"/>
    </row>
    <row r="13" spans="2:15" s="10" customFormat="1" ht="15" customHeight="1">
      <c r="B13" s="7"/>
      <c r="C13" s="8"/>
      <c r="D13" s="7"/>
      <c r="E13" s="9"/>
      <c r="F13" s="14"/>
      <c r="G13" s="15"/>
      <c r="H13" s="14"/>
      <c r="I13" s="15"/>
      <c r="J13" s="14"/>
      <c r="K13" s="15"/>
      <c r="L13" s="14"/>
      <c r="M13" s="15"/>
      <c r="N13" s="16"/>
      <c r="O13" s="16"/>
    </row>
    <row r="14" spans="2:15" s="10" customFormat="1" ht="15" customHeight="1">
      <c r="B14" s="7"/>
      <c r="C14" s="8"/>
      <c r="D14" s="7"/>
      <c r="E14" s="9"/>
      <c r="F14" s="14"/>
      <c r="G14" s="15"/>
      <c r="H14" s="14"/>
      <c r="I14" s="15"/>
      <c r="J14" s="14"/>
      <c r="K14" s="15"/>
      <c r="L14" s="14"/>
      <c r="M14" s="15"/>
      <c r="N14" s="16"/>
      <c r="O14" s="16"/>
    </row>
    <row r="15" spans="2:15" s="10" customFormat="1" ht="15" customHeight="1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>
      <c r="B42" s="17" t="s">
        <v>23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76.009999999999991</v>
      </c>
      <c r="O42" s="17">
        <f>SUM(O7:O41)</f>
        <v>0</v>
      </c>
      <c r="R42" s="20"/>
      <c r="S42" s="20"/>
    </row>
    <row r="43" spans="2:19" s="19" customFormat="1" ht="21.95" customHeight="1">
      <c r="B43" s="21" t="s">
        <v>24</v>
      </c>
      <c r="C43" s="22">
        <v>9.5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>
      <c r="B44" s="23" t="s">
        <v>25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>
      <c r="B45" s="25" t="s">
        <v>26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>
      <c r="B46" s="27" t="s">
        <v>27</v>
      </c>
      <c r="C46" s="27"/>
    </row>
  </sheetData>
  <sheetProtection algorithmName="SHA-512" hashValue="tL/+g7VYrw6PKunTMeVREh3FP4v7ORg73uSAgVMXgbFPs9QGf5ghw9hLFon4rcl1NvIJQK6ssuqSFlLn21aehA==" saltValue="jgKJTqNhUD9IjGIKyWHgLg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08DD-156B-4CDB-977E-CF12E2F78245}">
  <sheetPr>
    <pageSetUpPr fitToPage="1"/>
  </sheetPr>
  <dimension ref="B1:S46"/>
  <sheetViews>
    <sheetView workbookViewId="0">
      <selection activeCell="H23" sqref="H23"/>
    </sheetView>
  </sheetViews>
  <sheetFormatPr defaultRowHeight="1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/>
    <row r="2" spans="2:15" ht="21" customHeight="1">
      <c r="B2" s="2" t="s">
        <v>0</v>
      </c>
      <c r="C2" s="28" t="s">
        <v>66</v>
      </c>
      <c r="D2" s="28"/>
      <c r="E2" s="28"/>
      <c r="K2" s="3"/>
      <c r="L2" s="31" t="s">
        <v>2</v>
      </c>
      <c r="M2" s="32"/>
      <c r="N2" s="31" t="s">
        <v>3</v>
      </c>
      <c r="O2" s="32"/>
    </row>
    <row r="3" spans="2:15" ht="21" customHeight="1">
      <c r="B3" s="2" t="s">
        <v>4</v>
      </c>
      <c r="C3" s="4" t="s">
        <v>67</v>
      </c>
      <c r="D3" s="3"/>
      <c r="E3" s="3"/>
      <c r="J3" s="28" t="s">
        <v>6</v>
      </c>
      <c r="K3" s="28"/>
      <c r="L3" s="28"/>
      <c r="M3" s="28"/>
      <c r="N3" s="29">
        <v>46104</v>
      </c>
      <c r="O3" s="30"/>
    </row>
    <row r="4" spans="2:15" ht="21" customHeight="1">
      <c r="B4" s="2" t="s">
        <v>7</v>
      </c>
      <c r="C4" s="4">
        <v>4</v>
      </c>
      <c r="J4" s="28" t="s">
        <v>8</v>
      </c>
      <c r="K4" s="28"/>
      <c r="L4" s="28"/>
      <c r="M4" s="28"/>
      <c r="N4" s="29">
        <v>46117</v>
      </c>
      <c r="O4" s="30"/>
    </row>
    <row r="5" spans="2:15" ht="10.5" customHeight="1" thickBot="1"/>
    <row r="6" spans="2:15" ht="48" customHeight="1">
      <c r="B6" s="5" t="s">
        <v>9</v>
      </c>
      <c r="C6" s="6" t="s">
        <v>10</v>
      </c>
      <c r="D6" s="6" t="s">
        <v>11</v>
      </c>
      <c r="E6" s="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2" t="s">
        <v>21</v>
      </c>
      <c r="O6" s="13" t="s">
        <v>22</v>
      </c>
    </row>
    <row r="7" spans="2:15" s="10" customFormat="1" ht="15" customHeight="1">
      <c r="B7" s="7" t="s">
        <v>34</v>
      </c>
      <c r="C7" s="8" t="s">
        <v>35</v>
      </c>
      <c r="D7" s="7">
        <v>686657</v>
      </c>
      <c r="E7" s="9">
        <v>1</v>
      </c>
      <c r="F7" s="14"/>
      <c r="G7" s="15"/>
      <c r="H7" s="14"/>
      <c r="I7" s="15"/>
      <c r="J7" s="14"/>
      <c r="K7" s="15"/>
      <c r="L7" s="14"/>
      <c r="M7" s="15"/>
      <c r="N7" s="16">
        <v>11</v>
      </c>
      <c r="O7" s="16"/>
    </row>
    <row r="8" spans="2:15" s="10" customFormat="1" ht="15" customHeight="1">
      <c r="B8" s="7" t="s">
        <v>34</v>
      </c>
      <c r="C8" s="8" t="s">
        <v>37</v>
      </c>
      <c r="D8" s="7">
        <v>685313</v>
      </c>
      <c r="E8" s="9">
        <v>1</v>
      </c>
      <c r="F8" s="14"/>
      <c r="G8" s="15"/>
      <c r="H8" s="14"/>
      <c r="I8" s="15"/>
      <c r="J8" s="14"/>
      <c r="K8" s="15"/>
      <c r="L8" s="14"/>
      <c r="M8" s="15"/>
      <c r="N8" s="16">
        <v>1</v>
      </c>
      <c r="O8" s="16"/>
    </row>
    <row r="9" spans="2:15" s="10" customFormat="1" ht="15" customHeight="1">
      <c r="B9" s="7" t="s">
        <v>68</v>
      </c>
      <c r="C9" s="8" t="s">
        <v>69</v>
      </c>
      <c r="D9" s="7">
        <v>684650</v>
      </c>
      <c r="E9" s="9">
        <v>1</v>
      </c>
      <c r="F9" s="14">
        <v>46103</v>
      </c>
      <c r="G9" s="15">
        <v>38</v>
      </c>
      <c r="H9" s="14"/>
      <c r="I9" s="15"/>
      <c r="J9" s="14"/>
      <c r="K9" s="15"/>
      <c r="L9" s="14">
        <v>46117</v>
      </c>
      <c r="M9" s="15">
        <v>33.159999999999997</v>
      </c>
      <c r="N9" s="16">
        <v>33.159999999999997</v>
      </c>
      <c r="O9" s="16"/>
    </row>
    <row r="10" spans="2:15" s="10" customFormat="1" ht="15" customHeight="1">
      <c r="B10" s="7" t="s">
        <v>70</v>
      </c>
      <c r="C10" s="8" t="s">
        <v>71</v>
      </c>
      <c r="D10" s="7">
        <v>684117</v>
      </c>
      <c r="E10" s="9"/>
      <c r="F10" s="14">
        <v>46075</v>
      </c>
      <c r="G10" s="15">
        <v>8</v>
      </c>
      <c r="H10" s="14">
        <v>46117</v>
      </c>
      <c r="I10" s="15">
        <v>21</v>
      </c>
      <c r="J10" s="14"/>
      <c r="K10" s="15"/>
      <c r="L10" s="14"/>
      <c r="M10" s="15"/>
      <c r="N10" s="16">
        <v>21</v>
      </c>
      <c r="O10" s="16"/>
    </row>
    <row r="11" spans="2:15" s="10" customFormat="1" ht="15" customHeight="1">
      <c r="B11" s="7"/>
      <c r="C11" s="8"/>
      <c r="D11" s="7"/>
      <c r="E11" s="9"/>
      <c r="F11" s="14"/>
      <c r="G11" s="15"/>
      <c r="H11" s="14"/>
      <c r="I11" s="15"/>
      <c r="J11" s="14"/>
      <c r="K11" s="15"/>
      <c r="L11" s="14"/>
      <c r="M11" s="15"/>
      <c r="N11" s="16"/>
      <c r="O11" s="16"/>
    </row>
    <row r="12" spans="2:15" s="10" customFormat="1" ht="15" customHeight="1">
      <c r="B12" s="7"/>
      <c r="C12" s="8"/>
      <c r="D12" s="7"/>
      <c r="E12" s="9"/>
      <c r="F12" s="14"/>
      <c r="G12" s="15"/>
      <c r="H12" s="14"/>
      <c r="I12" s="15"/>
      <c r="J12" s="14"/>
      <c r="K12" s="15"/>
      <c r="L12" s="14"/>
      <c r="M12" s="15"/>
      <c r="N12" s="16"/>
      <c r="O12" s="16"/>
    </row>
    <row r="13" spans="2:15" s="10" customFormat="1" ht="15" customHeight="1">
      <c r="B13" s="7"/>
      <c r="C13" s="8"/>
      <c r="D13" s="7"/>
      <c r="E13" s="9"/>
      <c r="F13" s="14"/>
      <c r="G13" s="15"/>
      <c r="H13" s="14"/>
      <c r="I13" s="15"/>
      <c r="J13" s="14"/>
      <c r="K13" s="15"/>
      <c r="L13" s="14"/>
      <c r="M13" s="15"/>
      <c r="N13" s="16"/>
      <c r="O13" s="16"/>
    </row>
    <row r="14" spans="2:15" s="10" customFormat="1" ht="15" customHeight="1">
      <c r="B14" s="7"/>
      <c r="C14" s="8"/>
      <c r="D14" s="7"/>
      <c r="E14" s="9"/>
      <c r="F14" s="14"/>
      <c r="G14" s="15"/>
      <c r="H14" s="14"/>
      <c r="I14" s="15"/>
      <c r="J14" s="14"/>
      <c r="K14" s="15"/>
      <c r="L14" s="14"/>
      <c r="M14" s="15"/>
      <c r="N14" s="16"/>
      <c r="O14" s="16"/>
    </row>
    <row r="15" spans="2:15" s="10" customFormat="1" ht="15" customHeight="1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>
      <c r="B42" s="17" t="s">
        <v>23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66.16</v>
      </c>
      <c r="O42" s="17">
        <f>SUM(O7:O41)</f>
        <v>0</v>
      </c>
      <c r="R42" s="20"/>
      <c r="S42" s="20"/>
    </row>
    <row r="43" spans="2:19" s="19" customFormat="1" ht="21.95" customHeight="1">
      <c r="B43" s="21" t="s">
        <v>24</v>
      </c>
      <c r="C43" s="22">
        <v>9.5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>
      <c r="B44" s="23" t="s">
        <v>25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>
      <c r="B45" s="25" t="s">
        <v>26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>
      <c r="B46" s="27" t="s">
        <v>27</v>
      </c>
      <c r="C46" s="27"/>
    </row>
  </sheetData>
  <sheetProtection algorithmName="SHA-512" hashValue="t/nV65/v0PfOlhjSnM70qrC4kV223xLGrB0DsyhhiFwNI+gRw/JO35wPpOsRuuhs0tDv+4xpZOERE786hiWzZw==" saltValue="sybSa1h/gP72mAcB45W3dQ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8625-85A2-404C-8E5D-482285461EC6}">
  <sheetPr>
    <pageSetUpPr fitToPage="1"/>
  </sheetPr>
  <dimension ref="B1:S46"/>
  <sheetViews>
    <sheetView topLeftCell="A5" workbookViewId="0">
      <selection activeCell="D11" sqref="D11"/>
    </sheetView>
  </sheetViews>
  <sheetFormatPr defaultRowHeight="1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/>
    <row r="2" spans="2:15" ht="21" customHeight="1">
      <c r="B2" s="2" t="s">
        <v>0</v>
      </c>
      <c r="C2" s="28" t="s">
        <v>72</v>
      </c>
      <c r="D2" s="28"/>
      <c r="E2" s="28"/>
      <c r="K2" s="3"/>
      <c r="L2" s="31" t="s">
        <v>2</v>
      </c>
      <c r="M2" s="32"/>
      <c r="N2" s="31" t="s">
        <v>3</v>
      </c>
      <c r="O2" s="32"/>
    </row>
    <row r="3" spans="2:15" ht="21" customHeight="1">
      <c r="B3" s="2" t="s">
        <v>4</v>
      </c>
      <c r="C3" s="4" t="s">
        <v>73</v>
      </c>
      <c r="D3" s="3"/>
      <c r="E3" s="3"/>
      <c r="J3" s="28" t="s">
        <v>6</v>
      </c>
      <c r="K3" s="28"/>
      <c r="L3" s="28"/>
      <c r="M3" s="28"/>
      <c r="N3" s="29">
        <v>46104</v>
      </c>
      <c r="O3" s="30"/>
    </row>
    <row r="4" spans="2:15" ht="21" customHeight="1">
      <c r="B4" s="2" t="s">
        <v>7</v>
      </c>
      <c r="C4" s="4">
        <v>4</v>
      </c>
      <c r="J4" s="28" t="s">
        <v>8</v>
      </c>
      <c r="K4" s="28"/>
      <c r="L4" s="28"/>
      <c r="M4" s="28"/>
      <c r="N4" s="29">
        <v>46117</v>
      </c>
      <c r="O4" s="30"/>
    </row>
    <row r="5" spans="2:15" ht="10.5" customHeight="1" thickBot="1"/>
    <row r="6" spans="2:15" ht="48" customHeight="1">
      <c r="B6" s="5" t="s">
        <v>9</v>
      </c>
      <c r="C6" s="6" t="s">
        <v>10</v>
      </c>
      <c r="D6" s="6" t="s">
        <v>11</v>
      </c>
      <c r="E6" s="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2" t="s">
        <v>21</v>
      </c>
      <c r="O6" s="13" t="s">
        <v>22</v>
      </c>
    </row>
    <row r="7" spans="2:15" s="10" customFormat="1" ht="15" customHeight="1">
      <c r="B7" s="7" t="s">
        <v>34</v>
      </c>
      <c r="C7" s="8" t="s">
        <v>35</v>
      </c>
      <c r="D7" s="7">
        <v>686660</v>
      </c>
      <c r="E7" s="9">
        <v>1</v>
      </c>
      <c r="F7" s="14"/>
      <c r="G7" s="15"/>
      <c r="H7" s="14"/>
      <c r="I7" s="15"/>
      <c r="J7" s="14"/>
      <c r="K7" s="15"/>
      <c r="L7" s="14"/>
      <c r="M7" s="15"/>
      <c r="N7" s="16">
        <v>11</v>
      </c>
      <c r="O7" s="16"/>
    </row>
    <row r="8" spans="2:15" s="10" customFormat="1" ht="15" customHeight="1">
      <c r="B8" s="7" t="s">
        <v>34</v>
      </c>
      <c r="C8" s="8" t="s">
        <v>37</v>
      </c>
      <c r="D8" s="7">
        <v>685313</v>
      </c>
      <c r="E8" s="9">
        <v>1</v>
      </c>
      <c r="F8" s="14"/>
      <c r="G8" s="15"/>
      <c r="H8" s="14"/>
      <c r="I8" s="15"/>
      <c r="J8" s="14"/>
      <c r="K8" s="15"/>
      <c r="L8" s="14"/>
      <c r="M8" s="15"/>
      <c r="N8" s="16">
        <v>1</v>
      </c>
      <c r="O8" s="16"/>
    </row>
    <row r="9" spans="2:15" s="10" customFormat="1" ht="15" customHeight="1">
      <c r="B9" s="7" t="s">
        <v>74</v>
      </c>
      <c r="C9" s="8" t="s">
        <v>75</v>
      </c>
      <c r="D9" s="7">
        <v>686721</v>
      </c>
      <c r="E9" s="9"/>
      <c r="F9" s="14">
        <v>46117</v>
      </c>
      <c r="G9" s="15">
        <v>20</v>
      </c>
      <c r="H9" s="14"/>
      <c r="I9" s="15"/>
      <c r="J9" s="14"/>
      <c r="K9" s="15"/>
      <c r="L9" s="14"/>
      <c r="M9" s="15"/>
      <c r="N9" s="16">
        <v>20</v>
      </c>
      <c r="O9" s="16"/>
    </row>
    <row r="10" spans="2:15" s="10" customFormat="1" ht="15" customHeight="1">
      <c r="B10" s="7" t="s">
        <v>76</v>
      </c>
      <c r="C10" s="8" t="s">
        <v>69</v>
      </c>
      <c r="D10" s="7">
        <v>687430</v>
      </c>
      <c r="E10" s="9"/>
      <c r="F10" s="14">
        <v>46117</v>
      </c>
      <c r="G10" s="15">
        <v>12</v>
      </c>
      <c r="H10" s="14"/>
      <c r="I10" s="15"/>
      <c r="J10" s="14"/>
      <c r="K10" s="15"/>
      <c r="L10" s="14"/>
      <c r="M10" s="15"/>
      <c r="N10" s="16">
        <v>12</v>
      </c>
      <c r="O10" s="16"/>
    </row>
    <row r="11" spans="2:15" s="10" customFormat="1" ht="15" customHeight="1">
      <c r="B11" s="7" t="s">
        <v>56</v>
      </c>
      <c r="C11" s="8">
        <v>4730</v>
      </c>
      <c r="D11" s="7">
        <v>687539</v>
      </c>
      <c r="E11" s="9"/>
      <c r="F11" s="14">
        <v>46117</v>
      </c>
      <c r="G11" s="15">
        <v>6.5</v>
      </c>
      <c r="H11" s="14"/>
      <c r="I11" s="15"/>
      <c r="J11" s="14"/>
      <c r="K11" s="15"/>
      <c r="L11" s="14"/>
      <c r="M11" s="15"/>
      <c r="N11" s="16">
        <v>6.5</v>
      </c>
      <c r="O11" s="16"/>
    </row>
    <row r="12" spans="2:15" s="10" customFormat="1" ht="15" customHeight="1">
      <c r="B12" s="7"/>
      <c r="C12" s="8"/>
      <c r="D12" s="7"/>
      <c r="E12" s="9"/>
      <c r="F12" s="14"/>
      <c r="G12" s="15"/>
      <c r="H12" s="14"/>
      <c r="I12" s="15"/>
      <c r="J12" s="14"/>
      <c r="K12" s="15"/>
      <c r="L12" s="14"/>
      <c r="M12" s="15"/>
      <c r="N12" s="16"/>
      <c r="O12" s="16"/>
    </row>
    <row r="13" spans="2:15" s="10" customFormat="1" ht="15" customHeight="1">
      <c r="B13" s="7"/>
      <c r="C13" s="8"/>
      <c r="D13" s="7"/>
      <c r="E13" s="9"/>
      <c r="F13" s="14"/>
      <c r="G13" s="15"/>
      <c r="H13" s="14"/>
      <c r="I13" s="15"/>
      <c r="J13" s="14"/>
      <c r="K13" s="15"/>
      <c r="L13" s="14"/>
      <c r="M13" s="15"/>
      <c r="N13" s="16"/>
      <c r="O13" s="16"/>
    </row>
    <row r="14" spans="2:15" s="10" customFormat="1" ht="15" customHeight="1">
      <c r="B14" s="7"/>
      <c r="C14" s="8"/>
      <c r="D14" s="7"/>
      <c r="E14" s="9"/>
      <c r="F14" s="14"/>
      <c r="G14" s="15"/>
      <c r="H14" s="14"/>
      <c r="I14" s="15"/>
      <c r="J14" s="14"/>
      <c r="K14" s="15"/>
      <c r="L14" s="14"/>
      <c r="M14" s="15"/>
      <c r="N14" s="16"/>
      <c r="O14" s="16"/>
    </row>
    <row r="15" spans="2:15" s="10" customFormat="1" ht="15" customHeight="1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>
      <c r="B42" s="17" t="s">
        <v>23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50.5</v>
      </c>
      <c r="O42" s="17">
        <f>SUM(O7:O41)</f>
        <v>0</v>
      </c>
      <c r="R42" s="20"/>
      <c r="S42" s="20"/>
    </row>
    <row r="43" spans="2:19" s="19" customFormat="1" ht="21.95" customHeight="1">
      <c r="B43" s="21" t="s">
        <v>24</v>
      </c>
      <c r="C43" s="22">
        <v>9.5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>
      <c r="B44" s="23" t="s">
        <v>25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>
      <c r="B45" s="25" t="s">
        <v>26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>
      <c r="B46" s="27" t="s">
        <v>27</v>
      </c>
      <c r="C46" s="27"/>
    </row>
  </sheetData>
  <sheetProtection algorithmName="SHA-512" hashValue="bjkppwN/a4dPjemG1rZFls0sC1oUldd8qys+PJkYtyKEPrHbV519AYjazWW50yuZNnSs9Tnvd7kVTgEej61VpA==" saltValue="lGHY18WudQ9oP0CnqUT5HQ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5348-6CD7-40BA-8D4E-1437D357C7CB}">
  <sheetPr>
    <pageSetUpPr fitToPage="1"/>
  </sheetPr>
  <dimension ref="B1:S46"/>
  <sheetViews>
    <sheetView workbookViewId="0">
      <selection activeCell="J20" sqref="J20"/>
    </sheetView>
  </sheetViews>
  <sheetFormatPr defaultRowHeight="1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/>
    <row r="2" spans="2:15" ht="21" customHeight="1">
      <c r="B2" s="2" t="s">
        <v>0</v>
      </c>
      <c r="C2" s="28" t="s">
        <v>77</v>
      </c>
      <c r="D2" s="28"/>
      <c r="E2" s="28"/>
      <c r="K2" s="3"/>
      <c r="L2" s="31" t="s">
        <v>2</v>
      </c>
      <c r="M2" s="32"/>
      <c r="N2" s="31" t="s">
        <v>3</v>
      </c>
      <c r="O2" s="32"/>
    </row>
    <row r="3" spans="2:15" ht="21" customHeight="1">
      <c r="B3" s="2" t="s">
        <v>4</v>
      </c>
      <c r="C3" s="4" t="s">
        <v>78</v>
      </c>
      <c r="D3" s="3"/>
      <c r="E3" s="3"/>
      <c r="J3" s="28" t="s">
        <v>6</v>
      </c>
      <c r="K3" s="28"/>
      <c r="L3" s="28"/>
      <c r="M3" s="28"/>
      <c r="N3" s="29">
        <v>46104</v>
      </c>
      <c r="O3" s="30"/>
    </row>
    <row r="4" spans="2:15" ht="21" customHeight="1">
      <c r="B4" s="2" t="s">
        <v>7</v>
      </c>
      <c r="C4" s="4">
        <v>5</v>
      </c>
      <c r="J4" s="28" t="s">
        <v>8</v>
      </c>
      <c r="K4" s="28"/>
      <c r="L4" s="28"/>
      <c r="M4" s="28"/>
      <c r="N4" s="29">
        <v>46117</v>
      </c>
      <c r="O4" s="30"/>
    </row>
    <row r="5" spans="2:15" ht="10.5" customHeight="1" thickBot="1"/>
    <row r="6" spans="2:15" ht="48" customHeight="1">
      <c r="B6" s="5" t="s">
        <v>9</v>
      </c>
      <c r="C6" s="6" t="s">
        <v>10</v>
      </c>
      <c r="D6" s="6" t="s">
        <v>11</v>
      </c>
      <c r="E6" s="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2" t="s">
        <v>21</v>
      </c>
      <c r="O6" s="13" t="s">
        <v>22</v>
      </c>
    </row>
    <row r="7" spans="2:15" s="10" customFormat="1" ht="15" customHeight="1">
      <c r="B7" s="7" t="s">
        <v>34</v>
      </c>
      <c r="C7" s="8" t="s">
        <v>37</v>
      </c>
      <c r="D7" s="7">
        <v>685313</v>
      </c>
      <c r="E7" s="9">
        <v>1</v>
      </c>
      <c r="F7" s="14"/>
      <c r="G7" s="15"/>
      <c r="H7" s="14"/>
      <c r="I7" s="15"/>
      <c r="J7" s="14"/>
      <c r="K7" s="15"/>
      <c r="L7" s="14"/>
      <c r="M7" s="15"/>
      <c r="N7" s="16">
        <v>1</v>
      </c>
      <c r="O7" s="16"/>
    </row>
    <row r="8" spans="2:15" s="10" customFormat="1" ht="15" customHeight="1">
      <c r="B8" s="7" t="s">
        <v>79</v>
      </c>
      <c r="C8" s="8">
        <v>4940</v>
      </c>
      <c r="D8" s="7">
        <v>686426</v>
      </c>
      <c r="E8" s="9">
        <v>1</v>
      </c>
      <c r="F8" s="14"/>
      <c r="G8" s="15"/>
      <c r="H8" s="14"/>
      <c r="I8" s="15"/>
      <c r="J8" s="14"/>
      <c r="K8" s="15"/>
      <c r="L8" s="14"/>
      <c r="M8" s="15"/>
      <c r="N8" s="16">
        <v>11.19</v>
      </c>
      <c r="O8" s="16"/>
    </row>
    <row r="9" spans="2:15" s="10" customFormat="1" ht="15" customHeight="1">
      <c r="B9" s="7" t="s">
        <v>80</v>
      </c>
      <c r="C9" s="8" t="s">
        <v>69</v>
      </c>
      <c r="D9" s="7">
        <v>686924</v>
      </c>
      <c r="E9" s="9">
        <v>1</v>
      </c>
      <c r="F9" s="14"/>
      <c r="G9" s="15"/>
      <c r="H9" s="14"/>
      <c r="I9" s="15"/>
      <c r="J9" s="14"/>
      <c r="K9" s="15"/>
      <c r="L9" s="14"/>
      <c r="M9" s="15"/>
      <c r="N9" s="16">
        <v>2.2999999999999998</v>
      </c>
      <c r="O9" s="16"/>
    </row>
    <row r="10" spans="2:15" s="10" customFormat="1" ht="15" customHeight="1">
      <c r="B10" s="7" t="s">
        <v>81</v>
      </c>
      <c r="C10" s="8" t="s">
        <v>31</v>
      </c>
      <c r="D10" s="7">
        <v>686988</v>
      </c>
      <c r="E10" s="9">
        <v>1</v>
      </c>
      <c r="F10" s="14"/>
      <c r="G10" s="15"/>
      <c r="H10" s="14"/>
      <c r="I10" s="15"/>
      <c r="J10" s="14"/>
      <c r="K10" s="15"/>
      <c r="L10" s="14"/>
      <c r="M10" s="15"/>
      <c r="N10" s="16">
        <v>1.5</v>
      </c>
      <c r="O10" s="16"/>
    </row>
    <row r="11" spans="2:15" s="10" customFormat="1" ht="15" customHeight="1">
      <c r="B11" s="7" t="s">
        <v>41</v>
      </c>
      <c r="C11" s="8" t="s">
        <v>82</v>
      </c>
      <c r="D11" s="7">
        <v>687108</v>
      </c>
      <c r="E11" s="9">
        <v>1</v>
      </c>
      <c r="F11" s="14"/>
      <c r="G11" s="15"/>
      <c r="H11" s="14"/>
      <c r="I11" s="15"/>
      <c r="J11" s="14"/>
      <c r="K11" s="15"/>
      <c r="L11" s="14"/>
      <c r="M11" s="15"/>
      <c r="N11" s="16">
        <v>1.89</v>
      </c>
      <c r="O11" s="16"/>
    </row>
    <row r="12" spans="2:15" s="10" customFormat="1" ht="15" customHeight="1">
      <c r="B12" s="7" t="s">
        <v>83</v>
      </c>
      <c r="C12" s="8" t="s">
        <v>84</v>
      </c>
      <c r="D12" s="7">
        <v>687171</v>
      </c>
      <c r="E12" s="9">
        <v>1</v>
      </c>
      <c r="F12" s="14"/>
      <c r="G12" s="15"/>
      <c r="H12" s="14"/>
      <c r="I12" s="15"/>
      <c r="J12" s="14"/>
      <c r="K12" s="15"/>
      <c r="L12" s="14"/>
      <c r="M12" s="15"/>
      <c r="N12" s="16">
        <v>9.82</v>
      </c>
      <c r="O12" s="16"/>
    </row>
    <row r="13" spans="2:15" s="10" customFormat="1" ht="15" customHeight="1">
      <c r="B13" s="7" t="s">
        <v>85</v>
      </c>
      <c r="C13" s="8" t="s">
        <v>86</v>
      </c>
      <c r="D13" s="7">
        <v>686380</v>
      </c>
      <c r="E13" s="9">
        <v>1</v>
      </c>
      <c r="F13" s="14"/>
      <c r="G13" s="15"/>
      <c r="H13" s="14"/>
      <c r="I13" s="15"/>
      <c r="J13" s="14"/>
      <c r="K13" s="15"/>
      <c r="L13" s="14"/>
      <c r="M13" s="15"/>
      <c r="N13" s="16">
        <v>6.53</v>
      </c>
      <c r="O13" s="16"/>
    </row>
    <row r="14" spans="2:15" s="10" customFormat="1" ht="15" customHeight="1">
      <c r="B14" s="7" t="s">
        <v>87</v>
      </c>
      <c r="C14" s="8" t="s">
        <v>88</v>
      </c>
      <c r="D14" s="7">
        <v>687146</v>
      </c>
      <c r="E14" s="9">
        <v>1</v>
      </c>
      <c r="F14" s="14"/>
      <c r="G14" s="15"/>
      <c r="H14" s="14"/>
      <c r="I14" s="15"/>
      <c r="J14" s="14"/>
      <c r="K14" s="15"/>
      <c r="L14" s="14"/>
      <c r="M14" s="15"/>
      <c r="N14" s="16">
        <v>3.68</v>
      </c>
      <c r="O14" s="16"/>
    </row>
    <row r="15" spans="2:15" s="10" customFormat="1" ht="15" customHeight="1">
      <c r="B15" s="7" t="s">
        <v>89</v>
      </c>
      <c r="C15" s="8" t="s">
        <v>90</v>
      </c>
      <c r="D15" s="7">
        <v>687150</v>
      </c>
      <c r="E15" s="9">
        <v>1</v>
      </c>
      <c r="F15" s="14"/>
      <c r="G15" s="15"/>
      <c r="H15" s="14"/>
      <c r="I15" s="15"/>
      <c r="J15" s="14"/>
      <c r="K15" s="15"/>
      <c r="L15" s="14"/>
      <c r="M15" s="15"/>
      <c r="N15" s="16">
        <v>5.45</v>
      </c>
      <c r="O15" s="16"/>
    </row>
    <row r="16" spans="2:15" s="10" customFormat="1" ht="15" customHeight="1">
      <c r="B16" s="7" t="s">
        <v>89</v>
      </c>
      <c r="C16" s="8" t="s">
        <v>91</v>
      </c>
      <c r="D16" s="7">
        <v>687192</v>
      </c>
      <c r="E16" s="9">
        <v>1</v>
      </c>
      <c r="F16" s="14"/>
      <c r="G16" s="15"/>
      <c r="H16" s="14"/>
      <c r="I16" s="15"/>
      <c r="J16" s="14"/>
      <c r="K16" s="15"/>
      <c r="L16" s="14"/>
      <c r="M16" s="15"/>
      <c r="N16" s="16">
        <v>5.95</v>
      </c>
      <c r="O16" s="16"/>
    </row>
    <row r="17" spans="2:15" s="10" customFormat="1" ht="15" customHeight="1">
      <c r="B17" s="7" t="s">
        <v>92</v>
      </c>
      <c r="C17" s="8">
        <v>1725</v>
      </c>
      <c r="D17" s="7">
        <v>687268</v>
      </c>
      <c r="E17" s="9">
        <v>1</v>
      </c>
      <c r="F17" s="14"/>
      <c r="G17" s="15"/>
      <c r="H17" s="14"/>
      <c r="I17" s="15"/>
      <c r="J17" s="14"/>
      <c r="K17" s="15"/>
      <c r="L17" s="14"/>
      <c r="M17" s="15"/>
      <c r="N17" s="16">
        <v>5.79</v>
      </c>
      <c r="O17" s="16"/>
    </row>
    <row r="18" spans="2:15" s="10" customFormat="1" ht="15" customHeight="1">
      <c r="B18" s="7" t="s">
        <v>93</v>
      </c>
      <c r="C18" s="8" t="s">
        <v>94</v>
      </c>
      <c r="D18" s="7">
        <v>687394</v>
      </c>
      <c r="E18" s="9">
        <v>1</v>
      </c>
      <c r="F18" s="14"/>
      <c r="G18" s="15"/>
      <c r="H18" s="14"/>
      <c r="I18" s="15"/>
      <c r="J18" s="14"/>
      <c r="K18" s="15"/>
      <c r="L18" s="14"/>
      <c r="M18" s="15"/>
      <c r="N18" s="16">
        <v>2.1</v>
      </c>
      <c r="O18" s="16"/>
    </row>
    <row r="19" spans="2:15" s="10" customFormat="1" ht="15" customHeight="1">
      <c r="B19" s="7" t="s">
        <v>32</v>
      </c>
      <c r="C19" s="8" t="s">
        <v>69</v>
      </c>
      <c r="D19" s="7">
        <v>686726</v>
      </c>
      <c r="E19" s="9"/>
      <c r="F19" s="14">
        <v>46117</v>
      </c>
      <c r="G19" s="15">
        <v>10</v>
      </c>
      <c r="H19" s="14"/>
      <c r="I19" s="15"/>
      <c r="J19" s="14"/>
      <c r="K19" s="15"/>
      <c r="L19" s="14"/>
      <c r="M19" s="15"/>
      <c r="N19" s="16">
        <v>10</v>
      </c>
      <c r="O19" s="16"/>
    </row>
    <row r="20" spans="2:15" s="10" customFormat="1" ht="15" customHeight="1">
      <c r="B20" s="7" t="s">
        <v>95</v>
      </c>
      <c r="C20" s="8" t="s">
        <v>96</v>
      </c>
      <c r="D20" s="7">
        <v>685925</v>
      </c>
      <c r="E20" s="9"/>
      <c r="F20" s="14">
        <v>46117</v>
      </c>
      <c r="G20" s="15">
        <v>30</v>
      </c>
      <c r="H20" s="14"/>
      <c r="I20" s="15"/>
      <c r="J20" s="14"/>
      <c r="K20" s="15"/>
      <c r="L20" s="14"/>
      <c r="M20" s="15"/>
      <c r="N20" s="16">
        <v>30</v>
      </c>
      <c r="O20" s="16"/>
    </row>
    <row r="21" spans="2:15" s="10" customFormat="1" ht="15" customHeight="1">
      <c r="B21" s="7" t="s">
        <v>97</v>
      </c>
      <c r="C21" s="8" t="s">
        <v>71</v>
      </c>
      <c r="D21" s="7">
        <v>686286</v>
      </c>
      <c r="E21" s="9"/>
      <c r="F21" s="14">
        <v>46117</v>
      </c>
      <c r="G21" s="15">
        <v>10</v>
      </c>
      <c r="H21" s="14"/>
      <c r="I21" s="15"/>
      <c r="J21" s="14"/>
      <c r="K21" s="15"/>
      <c r="L21" s="14"/>
      <c r="M21" s="15"/>
      <c r="N21" s="16">
        <v>10</v>
      </c>
      <c r="O21" s="16"/>
    </row>
    <row r="22" spans="2:15" s="10" customFormat="1" ht="15" customHeight="1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>
      <c r="B42" s="17" t="s">
        <v>23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107.2</v>
      </c>
      <c r="O42" s="17">
        <f>SUM(O7:O41)</f>
        <v>0</v>
      </c>
      <c r="R42" s="20"/>
      <c r="S42" s="20"/>
    </row>
    <row r="43" spans="2:19" s="19" customFormat="1" ht="21.95" customHeight="1">
      <c r="B43" s="21" t="s">
        <v>24</v>
      </c>
      <c r="C43" s="22">
        <v>9.5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>
      <c r="B44" s="23" t="s">
        <v>25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>
      <c r="B45" s="25" t="s">
        <v>26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>
      <c r="B46" s="27" t="s">
        <v>27</v>
      </c>
      <c r="C46" s="27"/>
    </row>
  </sheetData>
  <sheetProtection algorithmName="SHA-512" hashValue="F6kmXoL2evd644h57AvBM+1pdCXu/JkhFQ4Lp9xoVKF+5rJiFa/3VBbE3jm7cS9c8y7KxWgSaIf9NvFQB5cmXg==" saltValue="+uTTAWA2DZ64IkUmYP5MRw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42A5-05BB-493B-9BB1-4336765BFDAF}">
  <sheetPr>
    <pageSetUpPr fitToPage="1"/>
  </sheetPr>
  <dimension ref="B1:S46"/>
  <sheetViews>
    <sheetView workbookViewId="0">
      <selection activeCell="E27" sqref="E27"/>
    </sheetView>
  </sheetViews>
  <sheetFormatPr defaultRowHeight="1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/>
    <row r="2" spans="2:15" ht="21" customHeight="1">
      <c r="B2" s="2" t="s">
        <v>0</v>
      </c>
      <c r="C2" s="28" t="s">
        <v>98</v>
      </c>
      <c r="D2" s="28"/>
      <c r="E2" s="28"/>
      <c r="K2" s="3"/>
      <c r="L2" s="31" t="s">
        <v>2</v>
      </c>
      <c r="M2" s="32"/>
      <c r="N2" s="31" t="s">
        <v>3</v>
      </c>
      <c r="O2" s="32"/>
    </row>
    <row r="3" spans="2:15" ht="21" customHeight="1">
      <c r="B3" s="2" t="s">
        <v>4</v>
      </c>
      <c r="C3" s="4" t="s">
        <v>99</v>
      </c>
      <c r="D3" s="3"/>
      <c r="E3" s="3"/>
      <c r="J3" s="28" t="s">
        <v>6</v>
      </c>
      <c r="K3" s="28"/>
      <c r="L3" s="28"/>
      <c r="M3" s="28"/>
      <c r="N3" s="29">
        <v>46104</v>
      </c>
      <c r="O3" s="30"/>
    </row>
    <row r="4" spans="2:15" ht="21" customHeight="1">
      <c r="B4" s="2" t="s">
        <v>7</v>
      </c>
      <c r="C4" s="4">
        <v>4</v>
      </c>
      <c r="J4" s="28" t="s">
        <v>8</v>
      </c>
      <c r="K4" s="28"/>
      <c r="L4" s="28"/>
      <c r="M4" s="28"/>
      <c r="N4" s="29">
        <v>46117</v>
      </c>
      <c r="O4" s="30"/>
    </row>
    <row r="5" spans="2:15" ht="10.5" customHeight="1" thickBot="1"/>
    <row r="6" spans="2:15" ht="48" customHeight="1">
      <c r="B6" s="5" t="s">
        <v>9</v>
      </c>
      <c r="C6" s="6" t="s">
        <v>10</v>
      </c>
      <c r="D6" s="6" t="s">
        <v>11</v>
      </c>
      <c r="E6" s="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2" t="s">
        <v>21</v>
      </c>
      <c r="O6" s="13" t="s">
        <v>22</v>
      </c>
    </row>
    <row r="7" spans="2:15" s="10" customFormat="1" ht="15" customHeight="1">
      <c r="B7" s="7" t="s">
        <v>34</v>
      </c>
      <c r="C7" s="8" t="s">
        <v>35</v>
      </c>
      <c r="D7" s="7">
        <v>685989</v>
      </c>
      <c r="E7" s="9">
        <v>1</v>
      </c>
      <c r="F7" s="14"/>
      <c r="G7" s="15"/>
      <c r="H7" s="14"/>
      <c r="I7" s="15"/>
      <c r="J7" s="14"/>
      <c r="K7" s="15"/>
      <c r="L7" s="14"/>
      <c r="M7" s="15"/>
      <c r="N7" s="16">
        <v>2.5</v>
      </c>
      <c r="O7" s="16"/>
    </row>
    <row r="8" spans="2:15" s="10" customFormat="1" ht="15" customHeight="1">
      <c r="B8" s="7" t="s">
        <v>34</v>
      </c>
      <c r="C8" s="8" t="s">
        <v>35</v>
      </c>
      <c r="D8" s="7">
        <v>686661</v>
      </c>
      <c r="E8" s="9">
        <v>1</v>
      </c>
      <c r="F8" s="14"/>
      <c r="G8" s="15"/>
      <c r="H8" s="14"/>
      <c r="I8" s="15"/>
      <c r="J8" s="14"/>
      <c r="K8" s="15"/>
      <c r="L8" s="14"/>
      <c r="M8" s="15"/>
      <c r="N8" s="16">
        <v>11</v>
      </c>
      <c r="O8" s="16"/>
    </row>
    <row r="9" spans="2:15" s="10" customFormat="1" ht="15" customHeight="1">
      <c r="B9" s="7" t="s">
        <v>100</v>
      </c>
      <c r="C9" s="8">
        <v>7460</v>
      </c>
      <c r="D9" s="7">
        <v>682462</v>
      </c>
      <c r="E9" s="9">
        <v>1</v>
      </c>
      <c r="F9" s="14">
        <v>46103</v>
      </c>
      <c r="G9" s="15">
        <v>14</v>
      </c>
      <c r="H9" s="14"/>
      <c r="I9" s="15"/>
      <c r="J9" s="14"/>
      <c r="K9" s="15"/>
      <c r="L9" s="14">
        <v>46117</v>
      </c>
      <c r="M9" s="15">
        <v>0.33</v>
      </c>
      <c r="N9" s="16">
        <v>0.33</v>
      </c>
      <c r="O9" s="16"/>
    </row>
    <row r="10" spans="2:15" s="10" customFormat="1" ht="15" customHeight="1">
      <c r="B10" s="7" t="s">
        <v>34</v>
      </c>
      <c r="C10" s="8" t="s">
        <v>37</v>
      </c>
      <c r="D10" s="7">
        <v>685313</v>
      </c>
      <c r="E10" s="9">
        <v>1</v>
      </c>
      <c r="F10" s="14"/>
      <c r="G10" s="15"/>
      <c r="H10" s="14"/>
      <c r="I10" s="15"/>
      <c r="J10" s="14"/>
      <c r="K10" s="15"/>
      <c r="L10" s="14"/>
      <c r="M10" s="15"/>
      <c r="N10" s="16">
        <v>1</v>
      </c>
      <c r="O10" s="16"/>
    </row>
    <row r="11" spans="2:15" s="10" customFormat="1" ht="15" customHeight="1">
      <c r="B11" s="7" t="s">
        <v>36</v>
      </c>
      <c r="C11" s="8">
        <v>1700</v>
      </c>
      <c r="D11" s="7">
        <v>686741</v>
      </c>
      <c r="E11" s="9">
        <v>1</v>
      </c>
      <c r="F11" s="14"/>
      <c r="G11" s="15"/>
      <c r="H11" s="14"/>
      <c r="I11" s="15"/>
      <c r="J11" s="14"/>
      <c r="K11" s="15"/>
      <c r="L11" s="14"/>
      <c r="M11" s="15"/>
      <c r="N11" s="16">
        <v>3.07</v>
      </c>
      <c r="O11" s="16"/>
    </row>
    <row r="12" spans="2:15" s="10" customFormat="1" ht="15" customHeight="1">
      <c r="B12" s="7" t="s">
        <v>101</v>
      </c>
      <c r="C12" s="8">
        <v>7460</v>
      </c>
      <c r="D12" s="7">
        <v>684637</v>
      </c>
      <c r="E12" s="9"/>
      <c r="F12" s="14">
        <v>46103</v>
      </c>
      <c r="G12" s="15">
        <v>14</v>
      </c>
      <c r="H12" s="14">
        <v>46117</v>
      </c>
      <c r="I12" s="15">
        <v>48</v>
      </c>
      <c r="J12" s="14"/>
      <c r="K12" s="15"/>
      <c r="L12" s="14"/>
      <c r="M12" s="15"/>
      <c r="N12" s="16">
        <v>48</v>
      </c>
      <c r="O12" s="16"/>
    </row>
    <row r="13" spans="2:15" s="10" customFormat="1" ht="15" customHeight="1">
      <c r="B13" s="7" t="s">
        <v>102</v>
      </c>
      <c r="C13" s="8" t="s">
        <v>103</v>
      </c>
      <c r="D13" s="7">
        <v>687280</v>
      </c>
      <c r="E13" s="9"/>
      <c r="F13" s="14">
        <v>46117</v>
      </c>
      <c r="G13" s="15">
        <v>3</v>
      </c>
      <c r="H13" s="14"/>
      <c r="I13" s="15"/>
      <c r="J13" s="14"/>
      <c r="K13" s="15"/>
      <c r="L13" s="14"/>
      <c r="M13" s="15"/>
      <c r="N13" s="16">
        <v>3</v>
      </c>
      <c r="O13" s="16"/>
    </row>
    <row r="14" spans="2:15" s="10" customFormat="1" ht="15" customHeight="1">
      <c r="B14" s="7" t="s">
        <v>104</v>
      </c>
      <c r="C14" s="8" t="s">
        <v>105</v>
      </c>
      <c r="D14" s="7">
        <v>687035</v>
      </c>
      <c r="E14" s="9"/>
      <c r="F14" s="14">
        <v>46117</v>
      </c>
      <c r="G14" s="15">
        <v>2</v>
      </c>
      <c r="H14" s="14"/>
      <c r="I14" s="15"/>
      <c r="J14" s="14"/>
      <c r="K14" s="15"/>
      <c r="L14" s="14"/>
      <c r="M14" s="15"/>
      <c r="N14" s="16">
        <v>2</v>
      </c>
      <c r="O14" s="16"/>
    </row>
    <row r="15" spans="2:15" s="10" customFormat="1" ht="15" customHeight="1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>
      <c r="B42" s="17" t="s">
        <v>23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70.900000000000006</v>
      </c>
      <c r="O42" s="17">
        <f>SUM(O7:O41)</f>
        <v>0</v>
      </c>
      <c r="R42" s="20"/>
      <c r="S42" s="20"/>
    </row>
    <row r="43" spans="2:19" s="19" customFormat="1" ht="21.95" customHeight="1">
      <c r="B43" s="21" t="s">
        <v>24</v>
      </c>
      <c r="C43" s="22">
        <v>9.5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>
      <c r="B44" s="23" t="s">
        <v>25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>
      <c r="B45" s="25" t="s">
        <v>26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>
      <c r="B46" s="27" t="s">
        <v>27</v>
      </c>
      <c r="C46" s="27"/>
    </row>
  </sheetData>
  <sheetProtection algorithmName="SHA-512" hashValue="NlEcd1pi48dFDbpiTpjZBd6ns9VSnlhSya3rKhSDIr1Ddgvystvrg2+YyxDMfUcEMUAyVm0VxAVmqXi6ET3ybA==" saltValue="1Wna6UYRzxSm49TAvgqk0w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4CE7-DCC8-43F4-8964-CAF86D665EE2}">
  <sheetPr>
    <pageSetUpPr fitToPage="1"/>
  </sheetPr>
  <dimension ref="B1:S46"/>
  <sheetViews>
    <sheetView tabSelected="1" workbookViewId="0">
      <selection activeCell="H2" sqref="H2"/>
    </sheetView>
  </sheetViews>
  <sheetFormatPr defaultRowHeight="1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/>
    <row r="2" spans="2:15" ht="21" customHeight="1">
      <c r="B2" s="2" t="s">
        <v>0</v>
      </c>
      <c r="C2" s="28" t="s">
        <v>106</v>
      </c>
      <c r="D2" s="28"/>
      <c r="E2" s="28"/>
      <c r="K2" s="3"/>
      <c r="L2" s="31" t="s">
        <v>2</v>
      </c>
      <c r="M2" s="32"/>
      <c r="N2" s="31" t="s">
        <v>3</v>
      </c>
      <c r="O2" s="32"/>
    </row>
    <row r="3" spans="2:15" ht="21" customHeight="1">
      <c r="B3" s="2" t="s">
        <v>4</v>
      </c>
      <c r="C3" s="4" t="s">
        <v>107</v>
      </c>
      <c r="D3" s="3"/>
      <c r="E3" s="3"/>
      <c r="J3" s="28" t="s">
        <v>6</v>
      </c>
      <c r="K3" s="28"/>
      <c r="L3" s="28"/>
      <c r="M3" s="28"/>
      <c r="N3" s="29">
        <v>46104</v>
      </c>
      <c r="O3" s="30"/>
    </row>
    <row r="4" spans="2:15" ht="21" customHeight="1">
      <c r="B4" s="2" t="s">
        <v>7</v>
      </c>
      <c r="C4" s="4">
        <v>3</v>
      </c>
      <c r="J4" s="28" t="s">
        <v>8</v>
      </c>
      <c r="K4" s="28"/>
      <c r="L4" s="28"/>
      <c r="M4" s="28"/>
      <c r="N4" s="29">
        <v>46117</v>
      </c>
      <c r="O4" s="30"/>
    </row>
    <row r="5" spans="2:15" ht="10.5" customHeight="1" thickBot="1"/>
    <row r="6" spans="2:15" ht="48" customHeight="1">
      <c r="B6" s="5" t="s">
        <v>9</v>
      </c>
      <c r="C6" s="6" t="s">
        <v>10</v>
      </c>
      <c r="D6" s="6" t="s">
        <v>11</v>
      </c>
      <c r="E6" s="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2" t="s">
        <v>21</v>
      </c>
      <c r="O6" s="13" t="s">
        <v>22</v>
      </c>
    </row>
    <row r="7" spans="2:15" s="10" customFormat="1" ht="15" customHeight="1">
      <c r="B7" s="7" t="s">
        <v>41</v>
      </c>
      <c r="C7" s="8" t="s">
        <v>33</v>
      </c>
      <c r="D7" s="7">
        <v>685716</v>
      </c>
      <c r="E7" s="9">
        <v>1</v>
      </c>
      <c r="F7" s="14">
        <v>46103</v>
      </c>
      <c r="G7" s="15">
        <v>3</v>
      </c>
      <c r="H7" s="14"/>
      <c r="I7" s="15"/>
      <c r="J7" s="14"/>
      <c r="K7" s="15"/>
      <c r="L7" s="14">
        <v>46117</v>
      </c>
      <c r="M7" s="15">
        <v>1.3</v>
      </c>
      <c r="N7" s="16">
        <v>1.3</v>
      </c>
      <c r="O7" s="16"/>
    </row>
    <row r="8" spans="2:15" s="10" customFormat="1" ht="15" customHeight="1">
      <c r="B8" s="7" t="s">
        <v>108</v>
      </c>
      <c r="C8" s="8" t="s">
        <v>71</v>
      </c>
      <c r="D8" s="7">
        <v>686082</v>
      </c>
      <c r="E8" s="9">
        <v>1</v>
      </c>
      <c r="F8" s="14">
        <v>46103</v>
      </c>
      <c r="G8" s="15">
        <v>6</v>
      </c>
      <c r="H8" s="14"/>
      <c r="I8" s="15"/>
      <c r="J8" s="14"/>
      <c r="K8" s="15"/>
      <c r="L8" s="14">
        <v>46117</v>
      </c>
      <c r="M8" s="15">
        <v>0.5</v>
      </c>
      <c r="N8" s="16">
        <v>0.5</v>
      </c>
      <c r="O8" s="16"/>
    </row>
    <row r="9" spans="2:15" s="10" customFormat="1" ht="15" customHeight="1">
      <c r="B9" s="7" t="s">
        <v>65</v>
      </c>
      <c r="C9" s="8">
        <v>7830</v>
      </c>
      <c r="D9" s="7">
        <v>686487</v>
      </c>
      <c r="E9" s="9">
        <v>1</v>
      </c>
      <c r="F9" s="14"/>
      <c r="G9" s="15"/>
      <c r="H9" s="14"/>
      <c r="I9" s="15"/>
      <c r="J9" s="14"/>
      <c r="K9" s="15"/>
      <c r="L9" s="14"/>
      <c r="M9" s="15"/>
      <c r="N9" s="16">
        <v>2.12</v>
      </c>
      <c r="O9" s="16"/>
    </row>
    <row r="10" spans="2:15" s="10" customFormat="1" ht="15" customHeight="1">
      <c r="B10" s="7" t="s">
        <v>74</v>
      </c>
      <c r="C10" s="8">
        <v>8120</v>
      </c>
      <c r="D10" s="7">
        <v>686284</v>
      </c>
      <c r="E10" s="9">
        <v>1</v>
      </c>
      <c r="F10" s="14">
        <v>46103</v>
      </c>
      <c r="G10" s="15">
        <v>18</v>
      </c>
      <c r="H10" s="14"/>
      <c r="I10" s="15"/>
      <c r="J10" s="14"/>
      <c r="K10" s="15"/>
      <c r="L10" s="14">
        <v>46117</v>
      </c>
      <c r="M10" s="15">
        <v>5.8</v>
      </c>
      <c r="N10" s="16">
        <v>5.8</v>
      </c>
      <c r="O10" s="16"/>
    </row>
    <row r="11" spans="2:15" s="10" customFormat="1" ht="15" customHeight="1">
      <c r="B11" s="7" t="s">
        <v>34</v>
      </c>
      <c r="C11" s="8" t="s">
        <v>37</v>
      </c>
      <c r="D11" s="7">
        <v>685313</v>
      </c>
      <c r="E11" s="9">
        <v>1</v>
      </c>
      <c r="F11" s="14"/>
      <c r="G11" s="15"/>
      <c r="H11" s="14"/>
      <c r="I11" s="15"/>
      <c r="J11" s="14"/>
      <c r="K11" s="15"/>
      <c r="L11" s="14"/>
      <c r="M11" s="15"/>
      <c r="N11" s="16">
        <v>1</v>
      </c>
      <c r="O11" s="16"/>
    </row>
    <row r="12" spans="2:15" s="10" customFormat="1" ht="15" customHeight="1">
      <c r="B12" s="7" t="s">
        <v>109</v>
      </c>
      <c r="C12" s="8" t="s">
        <v>64</v>
      </c>
      <c r="D12" s="7">
        <v>686514</v>
      </c>
      <c r="E12" s="9">
        <v>1</v>
      </c>
      <c r="F12" s="14">
        <v>46103</v>
      </c>
      <c r="G12" s="15">
        <v>6</v>
      </c>
      <c r="H12" s="14"/>
      <c r="I12" s="15"/>
      <c r="J12" s="14"/>
      <c r="K12" s="15"/>
      <c r="L12" s="14">
        <v>46117</v>
      </c>
      <c r="M12" s="15">
        <v>1.58</v>
      </c>
      <c r="N12" s="16">
        <v>1.58</v>
      </c>
      <c r="O12" s="16"/>
    </row>
    <row r="13" spans="2:15" s="10" customFormat="1" ht="15" customHeight="1">
      <c r="B13" s="7" t="s">
        <v>110</v>
      </c>
      <c r="C13" s="8">
        <v>8410</v>
      </c>
      <c r="D13" s="7">
        <v>686543</v>
      </c>
      <c r="E13" s="9">
        <v>1</v>
      </c>
      <c r="F13" s="14">
        <v>46103</v>
      </c>
      <c r="G13" s="15">
        <v>6</v>
      </c>
      <c r="H13" s="14"/>
      <c r="I13" s="15"/>
      <c r="J13" s="14"/>
      <c r="K13" s="15"/>
      <c r="L13" s="14">
        <v>46117</v>
      </c>
      <c r="M13" s="15">
        <v>1.68</v>
      </c>
      <c r="N13" s="16">
        <v>1.68</v>
      </c>
      <c r="O13" s="16"/>
    </row>
    <row r="14" spans="2:15" s="10" customFormat="1" ht="15" customHeight="1">
      <c r="B14" s="7" t="s">
        <v>111</v>
      </c>
      <c r="C14" s="8">
        <v>8220</v>
      </c>
      <c r="D14" s="7">
        <v>686143</v>
      </c>
      <c r="E14" s="9">
        <v>1</v>
      </c>
      <c r="F14" s="14"/>
      <c r="G14" s="15"/>
      <c r="H14" s="14"/>
      <c r="I14" s="15"/>
      <c r="J14" s="14"/>
      <c r="K14" s="15"/>
      <c r="L14" s="14"/>
      <c r="M14" s="15"/>
      <c r="N14" s="16">
        <v>1.74</v>
      </c>
      <c r="O14" s="16"/>
    </row>
    <row r="15" spans="2:15" s="10" customFormat="1" ht="15" customHeight="1">
      <c r="B15" s="7" t="s">
        <v>112</v>
      </c>
      <c r="C15" s="8">
        <v>8300</v>
      </c>
      <c r="D15" s="7">
        <v>686210</v>
      </c>
      <c r="E15" s="9">
        <v>1</v>
      </c>
      <c r="F15" s="14"/>
      <c r="G15" s="15"/>
      <c r="H15" s="14"/>
      <c r="I15" s="15"/>
      <c r="J15" s="14"/>
      <c r="K15" s="15"/>
      <c r="L15" s="14"/>
      <c r="M15" s="15"/>
      <c r="N15" s="16">
        <v>1.7</v>
      </c>
      <c r="O15" s="16"/>
    </row>
    <row r="16" spans="2:15" s="10" customFormat="1" ht="15" customHeight="1">
      <c r="B16" s="7" t="s">
        <v>113</v>
      </c>
      <c r="C16" s="8" t="s">
        <v>71</v>
      </c>
      <c r="D16" s="7">
        <v>686684</v>
      </c>
      <c r="E16" s="9">
        <v>1</v>
      </c>
      <c r="F16" s="14"/>
      <c r="G16" s="15"/>
      <c r="H16" s="14"/>
      <c r="I16" s="15"/>
      <c r="J16" s="14"/>
      <c r="K16" s="15"/>
      <c r="L16" s="14"/>
      <c r="M16" s="15"/>
      <c r="N16" s="16">
        <v>2.33</v>
      </c>
      <c r="O16" s="16"/>
    </row>
    <row r="17" spans="2:15" s="10" customFormat="1" ht="15" customHeight="1">
      <c r="B17" s="7" t="s">
        <v>113</v>
      </c>
      <c r="C17" s="8" t="s">
        <v>31</v>
      </c>
      <c r="D17" s="7">
        <v>686694</v>
      </c>
      <c r="E17" s="9">
        <v>1</v>
      </c>
      <c r="F17" s="14"/>
      <c r="G17" s="15"/>
      <c r="H17" s="14"/>
      <c r="I17" s="15"/>
      <c r="J17" s="14"/>
      <c r="K17" s="15"/>
      <c r="L17" s="14"/>
      <c r="M17" s="15"/>
      <c r="N17" s="16">
        <v>1</v>
      </c>
      <c r="O17" s="16"/>
    </row>
    <row r="18" spans="2:15" s="10" customFormat="1" ht="15" customHeight="1">
      <c r="B18" s="7" t="s">
        <v>114</v>
      </c>
      <c r="C18" s="8">
        <v>8300</v>
      </c>
      <c r="D18" s="7">
        <v>686845</v>
      </c>
      <c r="E18" s="9">
        <v>1</v>
      </c>
      <c r="F18" s="14"/>
      <c r="G18" s="15"/>
      <c r="H18" s="14"/>
      <c r="I18" s="15"/>
      <c r="J18" s="14"/>
      <c r="K18" s="15"/>
      <c r="L18" s="14"/>
      <c r="M18" s="15"/>
      <c r="N18" s="16">
        <v>3</v>
      </c>
      <c r="O18" s="16"/>
    </row>
    <row r="19" spans="2:15" s="10" customFormat="1" ht="15" customHeight="1">
      <c r="B19" s="7" t="s">
        <v>115</v>
      </c>
      <c r="C19" s="8">
        <v>8400</v>
      </c>
      <c r="D19" s="7">
        <v>686865</v>
      </c>
      <c r="E19" s="9">
        <v>1</v>
      </c>
      <c r="F19" s="14"/>
      <c r="G19" s="15"/>
      <c r="H19" s="14"/>
      <c r="I19" s="15"/>
      <c r="J19" s="14"/>
      <c r="K19" s="15"/>
      <c r="L19" s="14"/>
      <c r="M19" s="15"/>
      <c r="N19" s="16">
        <v>3.2</v>
      </c>
      <c r="O19" s="16"/>
    </row>
    <row r="20" spans="2:15" s="10" customFormat="1" ht="15" customHeight="1">
      <c r="B20" s="7" t="s">
        <v>116</v>
      </c>
      <c r="C20" s="8" t="s">
        <v>117</v>
      </c>
      <c r="D20" s="7">
        <v>687179</v>
      </c>
      <c r="E20" s="9"/>
      <c r="F20" s="14">
        <v>46117</v>
      </c>
      <c r="G20" s="15">
        <v>10</v>
      </c>
      <c r="H20" s="14"/>
      <c r="I20" s="15"/>
      <c r="J20" s="14"/>
      <c r="K20" s="15"/>
      <c r="L20" s="14"/>
      <c r="M20" s="15"/>
      <c r="N20" s="16">
        <v>10</v>
      </c>
      <c r="O20" s="16"/>
    </row>
    <row r="21" spans="2:15" s="10" customFormat="1" ht="15" customHeight="1">
      <c r="B21" s="7" t="s">
        <v>36</v>
      </c>
      <c r="C21" s="8" t="s">
        <v>44</v>
      </c>
      <c r="D21" s="7">
        <v>687183</v>
      </c>
      <c r="E21" s="9"/>
      <c r="F21" s="14">
        <v>46117</v>
      </c>
      <c r="G21" s="15">
        <v>4</v>
      </c>
      <c r="H21" s="14"/>
      <c r="I21" s="15"/>
      <c r="J21" s="14"/>
      <c r="K21" s="15"/>
      <c r="L21" s="14"/>
      <c r="M21" s="15"/>
      <c r="N21" s="16">
        <v>4</v>
      </c>
      <c r="O21" s="16"/>
    </row>
    <row r="22" spans="2:15" s="10" customFormat="1" ht="15" customHeight="1">
      <c r="B22" s="7" t="s">
        <v>36</v>
      </c>
      <c r="C22" s="8">
        <v>7800</v>
      </c>
      <c r="D22" s="7">
        <v>687004</v>
      </c>
      <c r="E22" s="9"/>
      <c r="F22" s="14">
        <v>46117</v>
      </c>
      <c r="G22" s="15">
        <v>4</v>
      </c>
      <c r="H22" s="14"/>
      <c r="I22" s="15"/>
      <c r="J22" s="14"/>
      <c r="K22" s="15"/>
      <c r="L22" s="14"/>
      <c r="M22" s="15"/>
      <c r="N22" s="16">
        <v>4</v>
      </c>
      <c r="O22" s="16"/>
    </row>
    <row r="23" spans="2:15" s="10" customFormat="1" ht="15" customHeight="1">
      <c r="B23" s="7" t="s">
        <v>41</v>
      </c>
      <c r="C23" s="8">
        <v>8230</v>
      </c>
      <c r="D23" s="7">
        <v>686520</v>
      </c>
      <c r="E23" s="9"/>
      <c r="F23" s="14">
        <v>46117</v>
      </c>
      <c r="G23" s="15">
        <v>11</v>
      </c>
      <c r="H23" s="14"/>
      <c r="I23" s="15"/>
      <c r="J23" s="14"/>
      <c r="K23" s="15"/>
      <c r="L23" s="14"/>
      <c r="M23" s="15"/>
      <c r="N23" s="16">
        <v>11</v>
      </c>
      <c r="O23" s="16"/>
    </row>
    <row r="24" spans="2:15" s="10" customFormat="1" ht="15" customHeight="1">
      <c r="B24" s="7" t="s">
        <v>34</v>
      </c>
      <c r="C24" s="8" t="s">
        <v>118</v>
      </c>
      <c r="D24" s="7">
        <v>687036</v>
      </c>
      <c r="E24" s="9"/>
      <c r="F24" s="14">
        <v>46117</v>
      </c>
      <c r="G24" s="15">
        <v>10</v>
      </c>
      <c r="H24" s="14"/>
      <c r="I24" s="15"/>
      <c r="J24" s="14"/>
      <c r="K24" s="15"/>
      <c r="L24" s="14"/>
      <c r="M24" s="15"/>
      <c r="N24" s="16">
        <v>10</v>
      </c>
      <c r="O24" s="16"/>
    </row>
    <row r="25" spans="2:15" s="10" customFormat="1" ht="15" customHeight="1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>
      <c r="B42" s="17" t="s">
        <v>23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65.95</v>
      </c>
      <c r="O42" s="17">
        <f>SUM(O7:O41)</f>
        <v>0</v>
      </c>
      <c r="R42" s="20"/>
      <c r="S42" s="20"/>
    </row>
    <row r="43" spans="2:19" s="19" customFormat="1" ht="21.95" customHeight="1">
      <c r="B43" s="21" t="s">
        <v>24</v>
      </c>
      <c r="C43" s="22">
        <v>9.5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>
      <c r="B44" s="23" t="s">
        <v>25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>
      <c r="B45" s="25" t="s">
        <v>26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>
      <c r="B46" s="27" t="s">
        <v>27</v>
      </c>
      <c r="C46" s="27"/>
    </row>
  </sheetData>
  <sheetProtection algorithmName="SHA-512" hashValue="5TpZl6EDGqmN4bGYFk1+/7BmRnK0eupRNAHi7s3LCrqXbh5vfNAwx6wOwmQVhw3Uq2Gq5Gk5BRPrNNU0H0KdKg==" saltValue="zJAWEAL8TZUm91kZzXcU8w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Hobson</dc:creator>
  <cp:keywords/>
  <dc:description/>
  <cp:lastModifiedBy>Stephanie Husky</cp:lastModifiedBy>
  <cp:revision/>
  <dcterms:created xsi:type="dcterms:W3CDTF">2025-02-25T20:23:56Z</dcterms:created>
  <dcterms:modified xsi:type="dcterms:W3CDTF">2026-04-06T20:32:07Z</dcterms:modified>
  <cp:category/>
  <cp:contentStatus/>
</cp:coreProperties>
</file>