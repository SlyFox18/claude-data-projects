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264982AB-4B7D-41CC-8F73-BCDFFE50B5C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verick McNeese" sheetId="1" r:id="rId1"/>
    <sheet name="Miguel Melendez" sheetId="2" r:id="rId2"/>
    <sheet name="Nehemiah Perez" sheetId="3" r:id="rId3"/>
    <sheet name="Seth Mendez" sheetId="4" r:id="rId4"/>
    <sheet name="Christian Trejo" sheetId="5" r:id="rId5"/>
    <sheet name="Jesus Mata" sheetId="6" r:id="rId6"/>
    <sheet name="_PayrollDates" sheetId="7" state="hidden" r:id="rId7"/>
    <sheet name="_TechLookup" sheetId="8" state="hidden" r:id="rId8"/>
  </sheets>
  <definedNames>
    <definedName name="_xlnm._FilterDatabase" localSheetId="4" hidden="1">'Christian Trejo'!$A$7:$O$7</definedName>
    <definedName name="_xlnm._FilterDatabase" localSheetId="5" hidden="1">'Jesus Mata'!$A$7:$P$7</definedName>
    <definedName name="_xlnm._FilterDatabase" localSheetId="0" hidden="1">'Maverick McNeese'!$A$7:$O$7</definedName>
    <definedName name="_xlnm._FilterDatabase" localSheetId="1" hidden="1">'Miguel Melendez'!$A$7:$O$7</definedName>
    <definedName name="_xlnm._FilterDatabase" localSheetId="2" hidden="1">'Nehemiah Perez'!$A$7:$O$7</definedName>
    <definedName name="_xlnm._FilterDatabase" localSheetId="3" hidden="1">'Seth Mendez'!$A$7:$O$7</definedName>
    <definedName name="_xlnm.Print_Area" localSheetId="4">'Christian Trejo'!$A$1:$O$56</definedName>
    <definedName name="_xlnm.Print_Area" localSheetId="5">'Jesus Mata'!$A$1:$P$56</definedName>
    <definedName name="_xlnm.Print_Area" localSheetId="0">'Maverick McNeese'!$A$1:$O$56</definedName>
    <definedName name="_xlnm.Print_Area" localSheetId="1">'Miguel Melendez'!$A$1:$O$56</definedName>
    <definedName name="_xlnm.Print_Area" localSheetId="2">'Nehemiah Perez'!$A$1:$O$56</definedName>
    <definedName name="_xlnm.Print_Area" localSheetId="3">'Seth Mendez'!$A$1:$O$56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6" l="1"/>
  <c r="P43" i="6"/>
  <c r="O43" i="6"/>
  <c r="N43" i="6"/>
  <c r="M43" i="6"/>
  <c r="M5" i="6"/>
  <c r="M4" i="6"/>
  <c r="B56" i="5"/>
  <c r="O43" i="5"/>
  <c r="N43" i="5"/>
  <c r="M43" i="5"/>
  <c r="M5" i="5"/>
  <c r="M4" i="5"/>
  <c r="B56" i="4"/>
  <c r="O43" i="4"/>
  <c r="N43" i="4"/>
  <c r="M43" i="4"/>
  <c r="M5" i="4"/>
  <c r="M4" i="4"/>
  <c r="B56" i="3"/>
  <c r="O43" i="3"/>
  <c r="N43" i="3"/>
  <c r="M43" i="3"/>
  <c r="M5" i="3"/>
  <c r="M4" i="3"/>
  <c r="B56" i="2"/>
  <c r="O43" i="2"/>
  <c r="N43" i="2"/>
  <c r="M43" i="2"/>
  <c r="M5" i="2"/>
  <c r="M4" i="2"/>
  <c r="B56" i="1"/>
  <c r="O43" i="1"/>
  <c r="N43" i="1"/>
  <c r="M43" i="1"/>
  <c r="M5" i="1"/>
  <c r="M4" i="1"/>
</calcChain>
</file>

<file path=xl/sharedStrings.xml><?xml version="1.0" encoding="utf-8"?>
<sst xmlns="http://schemas.openxmlformats.org/spreadsheetml/2006/main" count="290" uniqueCount="89">
  <si>
    <t>TECHNICIAN NAME:</t>
  </si>
  <si>
    <t>Maverick McNeese</t>
  </si>
  <si>
    <t>LOCATION:</t>
  </si>
  <si>
    <t>LITTLEFIELD</t>
  </si>
  <si>
    <t>TECH #:</t>
  </si>
  <si>
    <t>T1500</t>
  </si>
  <si>
    <t>PAY PERIOD:</t>
  </si>
  <si>
    <t>TECH LEVEL:</t>
  </si>
  <si>
    <t>4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</si>
  <si>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</si>
  <si>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</si>
  <si>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</si>
  <si>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</si>
  <si>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</si>
  <si>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</si>
  <si>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</si>
  <si>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</si>
  <si>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</si>
  <si>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</si>
  <si>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</si>
  <si>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</si>
  <si>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</si>
  <si>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</si>
  <si>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CURRENT DRAW/
SHOP/FIELD HRS</t>
  </si>
  <si>
    <t>AFTER
HOURS</t>
  </si>
  <si>
    <t>MILEAGE
(x $1.85)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</si>
  <si>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</si>
  <si>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</si>
  <si>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</si>
  <si>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</si>
  <si>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</si>
  <si>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</si>
  <si>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</si>
  <si>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</si>
  <si>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</si>
  <si>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</si>
  <si>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Miguel Melendez</t>
  </si>
  <si>
    <t>T1530</t>
  </si>
  <si>
    <t>3</t>
  </si>
  <si>
    <t>Nehemiah Perez</t>
  </si>
  <si>
    <t>T1084</t>
  </si>
  <si>
    <t>Seth Mendez</t>
  </si>
  <si>
    <t>T1325</t>
  </si>
  <si>
    <t>Christian Trejo</t>
  </si>
  <si>
    <t>T1410</t>
  </si>
  <si>
    <t>Jesus Mata</t>
  </si>
  <si>
    <t>T1101</t>
  </si>
  <si>
    <t>SM</t>
  </si>
  <si>
    <t>SHOP
HRS</t>
  </si>
  <si>
    <t>FIELD
HRS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</si>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</sst>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71A76762-CCD5-C038-EFC1-77585D25D5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1A19EEAC-767C-D498-E1F0-7E050FBF27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17B8AFC2-4305-C10F-99E1-FCC4BE239D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47D96621-8C15-8CD1-671B-B8D975A94A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4A09BA44-0F8A-68A2-C0BD-DA83E1D6BE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2EFBD95F-3B59-1602-4E8B-0C415B02EF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38094E1E-D7BD-DEB9-F2C6-ACAD7C6DCD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8B66CC7C-BFD9-6695-1F63-43FD7BBF6E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63598B84-CDFC-D55C-6EF3-7D9D2E8BDA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3EA5BE7D-14AF-7F87-C153-4861171B52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660FBDFF-AFF1-FEB9-3152-7398AC3CA2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15437DB-4E25-858D-284E-5385254B33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O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5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first","LITTLEFIELD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36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37</v>
      </c>
      <c r="I3" s="1" t="s">
        <v>6</v>
      </c>
      <c r="M3" s="2"/>
    </row>
    <row r="4" spans="1:15" x14ac:dyDescent="0.25">
      <c r="A4" s="1" t="s">
        <v>7</v>
      </c>
      <c r="B4" s="1" t="s">
        <v>38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first","LITTLEFIELD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39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40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first","LITTLEFIELD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200-000000000000}"/>
  <dataValidations count="1">
    <dataValidation type="list" allowBlank="1" showErrorMessage="1" errorTitle="Invalid value" error="Choose from the list" sqref="D8:D41" xr:uid="{00000000-0002-0000-02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2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41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42</v>
      </c>
      <c r="I3" s="1" t="s">
        <v>6</v>
      </c>
      <c r="M3" s="2"/>
    </row>
    <row r="4" spans="1:15" x14ac:dyDescent="0.25">
      <c r="A4" s="1" t="s">
        <v>7</v>
      </c>
      <c r="B4" s="1" t="s">
        <v>38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first","LITTLEFIELD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300-000000000000}"/>
  <dataValidations count="1">
    <dataValidation type="list" allowBlank="1" showErrorMessage="1" errorTitle="Invalid value" error="Choose from the list" sqref="D8:D41" xr:uid="{00000000-0002-0000-03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3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43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44</v>
      </c>
      <c r="I3" s="1" t="s">
        <v>6</v>
      </c>
      <c r="M3" s="2"/>
    </row>
    <row r="4" spans="1:15" x14ac:dyDescent="0.25">
      <c r="A4" s="1" t="s">
        <v>7</v>
      </c>
      <c r="B4" s="1" t="s">
        <v>38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first","LITTLEFIELD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400-000000000000}"/>
  <dataValidations count="1">
    <dataValidation type="list" allowBlank="1" showErrorMessage="1" errorTitle="Invalid value" error="Choose from the list" sqref="D8:D41" xr:uid="{00000000-0002-0000-04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4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2:P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5" width="12" customWidth="1"/>
    <col min="16" max="16" width="14" customWidth="1"/>
  </cols>
  <sheetData>
    <row r="2" spans="1:16" x14ac:dyDescent="0.25">
      <c r="A2" s="1" t="s">
        <v>0</v>
      </c>
      <c r="B2" s="1" t="s">
        <v>45</v>
      </c>
      <c r="K2" s="1" t="s">
        <v>2</v>
      </c>
      <c r="M2" s="1" t="s">
        <v>3</v>
      </c>
    </row>
    <row r="3" spans="1:16" x14ac:dyDescent="0.25">
      <c r="A3" s="1" t="s">
        <v>4</v>
      </c>
      <c r="B3" s="1" t="s">
        <v>46</v>
      </c>
      <c r="I3" s="1" t="s">
        <v>6</v>
      </c>
      <c r="M3" s="2"/>
    </row>
    <row r="4" spans="1:16" x14ac:dyDescent="0.25">
      <c r="A4" s="1" t="s">
        <v>7</v>
      </c>
      <c r="B4" s="1" t="s">
        <v>47</v>
      </c>
      <c r="I4" s="1" t="s">
        <v>9</v>
      </c>
      <c r="M4" s="3" t="str">
        <f>IFERROR(INDEX(_PayrollDates!$B:$B,MATCH(M3,_PayrollDates!$A:$A,0)),"")</f>
        <v/>
      </c>
    </row>
    <row r="5" spans="1:16" x14ac:dyDescent="0.25">
      <c r="I5" s="1" t="s">
        <v>10</v>
      </c>
      <c r="M5" s="3" t="str">
        <f>IFERROR(INDEX(_PayrollDates!$C:$C,MATCH(M3,_PayrollDates!$A:$A,0)),"")</f>
        <v/>
      </c>
    </row>
    <row r="6" spans="1:16" ht="6" customHeight="1" x14ac:dyDescent="0.25"/>
    <row r="7" spans="1:16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48</v>
      </c>
      <c r="N7" s="4" t="s">
        <v>49</v>
      </c>
      <c r="O7" s="4" t="s">
        <v>24</v>
      </c>
      <c r="P7" s="4" t="s">
        <v>25</v>
      </c>
    </row>
    <row r="8" spans="1:16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  <c r="P8" s="8"/>
    </row>
    <row r="9" spans="1:16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  <c r="P9" s="8"/>
    </row>
    <row r="10" spans="1:16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  <c r="P10" s="8"/>
    </row>
    <row r="11" spans="1:16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  <c r="P11" s="8"/>
    </row>
    <row r="12" spans="1:16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  <c r="P12" s="8"/>
    </row>
    <row r="13" spans="1:16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  <c r="P13" s="8"/>
    </row>
    <row r="14" spans="1:16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  <c r="P14" s="8"/>
    </row>
    <row r="15" spans="1:16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  <c r="P15" s="8"/>
    </row>
    <row r="16" spans="1:16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  <c r="P16" s="8"/>
    </row>
    <row r="17" spans="1:16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  <c r="P17" s="8"/>
    </row>
    <row r="18" spans="1:16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  <c r="P18" s="8"/>
    </row>
    <row r="19" spans="1:16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  <c r="P19" s="8"/>
    </row>
    <row r="20" spans="1:16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  <c r="P20" s="8"/>
    </row>
    <row r="21" spans="1:16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  <c r="P21" s="8"/>
    </row>
    <row r="22" spans="1:16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  <c r="P22" s="8"/>
    </row>
    <row r="23" spans="1:16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  <c r="P23" s="8"/>
    </row>
    <row r="24" spans="1:16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  <c r="P24" s="8"/>
    </row>
    <row r="25" spans="1:16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  <c r="P25" s="8"/>
    </row>
    <row r="26" spans="1:16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  <c r="P26" s="8"/>
    </row>
    <row r="27" spans="1:16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  <c r="P27" s="8"/>
    </row>
    <row r="28" spans="1:16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  <c r="P28" s="8"/>
    </row>
    <row r="29" spans="1:16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  <c r="P29" s="8"/>
    </row>
    <row r="30" spans="1:16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  <c r="P30" s="8"/>
    </row>
    <row r="31" spans="1:16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  <c r="P31" s="8"/>
    </row>
    <row r="32" spans="1:16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  <c r="P32" s="8"/>
    </row>
    <row r="33" spans="1:16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  <c r="P33" s="8"/>
    </row>
    <row r="34" spans="1:16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  <c r="P34" s="8"/>
    </row>
    <row r="35" spans="1:16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  <c r="P35" s="8"/>
    </row>
    <row r="36" spans="1:16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  <c r="P36" s="8"/>
    </row>
    <row r="37" spans="1:16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  <c r="P37" s="8"/>
    </row>
    <row r="38" spans="1:16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  <c r="P38" s="8"/>
    </row>
    <row r="39" spans="1:16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  <c r="P39" s="8"/>
    </row>
    <row r="40" spans="1:16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  <c r="P40" s="8"/>
    </row>
    <row r="41" spans="1:16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  <c r="P41" s="8"/>
    </row>
    <row r="42" spans="1:16" ht="6" customHeight="1" x14ac:dyDescent="0.25"/>
    <row r="43" spans="1:16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  <c r="P43" s="13">
        <f>SUM(P8:P41)</f>
        <v>0</v>
      </c>
    </row>
    <row r="44" spans="1:16" x14ac:dyDescent="0.25">
      <c r="A44" s="1" t="s">
        <v>27</v>
      </c>
      <c r="B44" s="8">
        <v>0</v>
      </c>
    </row>
    <row r="45" spans="1:16" x14ac:dyDescent="0.25">
      <c r="A45" s="1" t="s">
        <v>28</v>
      </c>
      <c r="B45" s="8">
        <v>0</v>
      </c>
    </row>
    <row r="46" spans="1:16" x14ac:dyDescent="0.25">
      <c r="A46" s="1" t="s">
        <v>29</v>
      </c>
      <c r="B46" s="8">
        <v>0</v>
      </c>
    </row>
    <row r="47" spans="1:16" x14ac:dyDescent="0.25">
      <c r="A47" s="1" t="s">
        <v>30</v>
      </c>
      <c r="B47" s="8">
        <v>0</v>
      </c>
    </row>
    <row r="48" spans="1:16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first","LITTLEFIELD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P7" xr:uid="{00000000-0001-0000-0500-000000000000}"/>
  <dataValidations count="1">
    <dataValidation type="list" allowBlank="1" showErrorMessage="1" errorTitle="Invalid value" error="Choose from the list" sqref="D8:D41" xr:uid="{00000000-0002-0000-05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5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D29"/>
  <sheetViews>
    <sheetView workbookViewId="0"/>
  </sheetViews>
  <sheetFormatPr defaultRowHeight="15" x14ac:dyDescent="0.25"/>
  <sheetData>
    <row r="1" spans="1:4" x14ac:dyDescent="0.25">
      <c r="A1" t="s">
        <v>50</v>
      </c>
      <c r="B1" t="s">
        <v>51</v>
      </c>
      <c r="C1" t="s">
        <v>52</v>
      </c>
      <c r="D1" t="s">
        <v>53</v>
      </c>
    </row>
    <row r="2" spans="1:4" x14ac:dyDescent="0.25">
      <c r="A2" t="s">
        <v>54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55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56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57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58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59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60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61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62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63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64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65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66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67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68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69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70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71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72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73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74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75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76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77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78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79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80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81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E7"/>
  <sheetViews>
    <sheetView workbookViewId="0"/>
  </sheetViews>
  <sheetFormatPr defaultRowHeight="15" x14ac:dyDescent="0.25"/>
  <sheetData>
    <row r="1" spans="1:5" x14ac:dyDescent="0.25">
      <c r="A1" t="s">
        <v>82</v>
      </c>
      <c r="B1" t="s">
        <v>83</v>
      </c>
      <c r="C1" t="s">
        <v>84</v>
      </c>
      <c r="D1" t="s">
        <v>85</v>
      </c>
      <c r="E1" t="s">
        <v>86</v>
      </c>
    </row>
    <row r="2" spans="1:5" x14ac:dyDescent="0.25">
      <c r="A2" t="s">
        <v>5</v>
      </c>
      <c r="B2" t="s">
        <v>1</v>
      </c>
      <c r="C2" t="s">
        <v>8</v>
      </c>
      <c r="D2" t="s">
        <v>87</v>
      </c>
      <c r="E2" t="s">
        <v>88</v>
      </c>
    </row>
    <row r="3" spans="1:5" x14ac:dyDescent="0.25">
      <c r="A3" t="s">
        <v>37</v>
      </c>
      <c r="B3" t="s">
        <v>36</v>
      </c>
      <c r="C3" t="s">
        <v>38</v>
      </c>
      <c r="D3" t="s">
        <v>87</v>
      </c>
      <c r="E3" t="s">
        <v>88</v>
      </c>
    </row>
    <row r="4" spans="1:5" x14ac:dyDescent="0.25">
      <c r="A4" t="s">
        <v>40</v>
      </c>
      <c r="B4" t="s">
        <v>39</v>
      </c>
      <c r="C4" t="s">
        <v>8</v>
      </c>
      <c r="D4" t="s">
        <v>87</v>
      </c>
      <c r="E4" t="s">
        <v>88</v>
      </c>
    </row>
    <row r="5" spans="1:5" x14ac:dyDescent="0.25">
      <c r="A5" t="s">
        <v>42</v>
      </c>
      <c r="B5" t="s">
        <v>41</v>
      </c>
      <c r="C5" t="s">
        <v>38</v>
      </c>
      <c r="D5" t="s">
        <v>87</v>
      </c>
      <c r="E5" t="s">
        <v>88</v>
      </c>
    </row>
    <row r="6" spans="1:5" x14ac:dyDescent="0.25">
      <c r="A6" t="s">
        <v>44</v>
      </c>
      <c r="B6" t="s">
        <v>43</v>
      </c>
      <c r="C6" t="s">
        <v>38</v>
      </c>
      <c r="D6" t="s">
        <v>87</v>
      </c>
      <c r="E6" t="s">
        <v>88</v>
      </c>
    </row>
    <row r="7" spans="1:5" x14ac:dyDescent="0.25">
      <c r="A7" t="s">
        <v>46</v>
      </c>
      <c r="B7" t="s">
        <v>45</v>
      </c>
      <c r="C7" t="s">
        <v>47</v>
      </c>
      <c r="D7" t="s">
        <v>87</v>
      </c>
      <c r="E7" t="s">
        <v>87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Maverick McNeese</vt:lpstr>
      <vt:lpstr>Miguel Melendez</vt:lpstr>
      <vt:lpstr>Nehemiah Perez</vt:lpstr>
      <vt:lpstr>Seth Mendez</vt:lpstr>
      <vt:lpstr>Christian Trejo</vt:lpstr>
      <vt:lpstr>Jesus Mata</vt:lpstr>
      <vt:lpstr>_PayrollDates</vt:lpstr>
      <vt:lpstr>_TechLookup</vt:lpstr>
      <vt:lpstr>'Christian Trejo'!Print_Area</vt:lpstr>
      <vt:lpstr>'Jesus Mata'!Print_Area</vt:lpstr>
      <vt:lpstr>'Maverick McNeese'!Print_Area</vt:lpstr>
      <vt:lpstr>'Miguel Melendez'!Print_Area</vt:lpstr>
      <vt:lpstr>'Nehemiah Perez'!Print_Area</vt:lpstr>
      <vt:lpstr>'Seth Mendez'!Print_Area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2026-10-29T13:29:56Z</dcterms:created>
  <dcterms:modified xsi:type="dcterms:W3CDTF">2026-10-29T13:30:29Z</dcterms:modified>
</cp:coreProperties>
</file>