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fox\Documents\Git-Projects\data-projects\projects\service time sheets\templates\"/>
    </mc:Choice>
  </mc:AlternateContent>
  <xr:revisionPtr revIDLastSave="0" documentId="8_{4F988E37-47D4-4F08-BB77-A9D50DE08FE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Orrin Brooks" sheetId="1" r:id="rId1"/>
    <sheet name="Russell Hoag" sheetId="2" r:id="rId2"/>
    <sheet name="_PayrollDates" sheetId="3" state="hidden" r:id="rId3"/>
    <sheet name="_TechLookup" sheetId="4" state="hidden" r:id="rId4"/>
  </sheets>
  <definedNames>
    <definedName name="_xlnm._FilterDatabase" localSheetId="0" hidden="1">'Orrin Brooks'!$A$7:$O$7</definedName>
    <definedName name="_xlnm._FilterDatabase" localSheetId="1" hidden="1">'Russell Hoag'!$A$7:$N$7</definedName>
    <definedName name="_xlnm.Print_Area" localSheetId="0">'Orrin Brooks'!$A$1:$O$56</definedName>
    <definedName name="_xlnm.Print_Area" localSheetId="1">'Russell Hoag'!$A$1:$N$56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" i="2" l="1"/>
  <c r="N43" i="2"/>
  <c r="M43" i="2"/>
  <c r="M5" i="2"/>
  <c r="M4" i="2"/>
  <c r="B56" i="1"/>
  <c r="O43" i="1"/>
  <c r="N43" i="1"/>
  <c r="M43" i="1"/>
  <c r="M5" i="1"/>
  <c r="M4" i="1"/>
</calcChain>
</file>

<file path=xl/sharedStrings.xml><?xml version="1.0" encoding="utf-8"?>
<sst xmlns="http://schemas.openxmlformats.org/spreadsheetml/2006/main" count="120" uniqueCount="79">
  <si>
    <t>TECHNICIAN NAME:</t>
  </si>
  <si>
    <t>Orrin Brooks</t>
  </si>
  <si>
    <t>LOCATION:</t>
  </si>
  <si>
    <t>SNYDER</t>
  </si>
  <si>
    <t>TECH #:</t>
  </si>
  <si>
    <t>T1703</t>
  </si>
  <si>
    <t>PAY PERIOD:</t>
  </si>
  <si>
    <t>TECH LEVEL:</t>
  </si>
  <si>
    <t>SM</t>
  </si>
  <si>
    <t>PAYROLL START DATE (MON):</t>
  </si>
  <si>
    <t>PAYROLL END DATE (SUN):</t>
  </si>
  <si>
    <t>CUSTOMER NAME</t>
  </si>
  <si>
    <t>MODEL</t>
  </si>
  <si>
    <t>RO#</t>
  </si>
  <si>
    <t>% WORK
COMPLETE</t>
  </si>
  <si>
    <t>*DRAW#1
DATE</t>
  </si>
  <si>
    <t>*DRAW#1
HRS</t>
  </si>
  <si>
    <t>*DRAW#2
DATE</t>
  </si>
  <si>
    <t>*DRAW#2
HRS</t>
  </si>
  <si>
    <t>*DRAW#3
DATE</t>
  </si>
  <si>
    <t>*DRAW#3
HRS</t>
  </si>
  <si>
    <t>*FINAL DRAW
DATE</t>
  </si>
  <si>
    <t>*FINAL DRAW
HRS</t>
  </si>
  <si>
    <t>SHOP
HRS</t>
  </si>
  <si>
    <t>FIELD
HRS</t>
  </si>
  <si>
    <t>AFTER
HOURS</t>
  </si>
  <si>
    <t>TOTAL HOURS</t>
  </si>
  <si>
    <t>HOLIDAY HOURS</t>
  </si>
  <si>
    <t>PTO HOURS</t>
  </si>
  <si>
    <t>NO PAY HOURS</t>
  </si>
  <si>
    <t>CIRCUMSTANTIAL HOURS</t>
  </si>
  <si>
    <t>*FOR RECORD KEEPING PURPOSES ONLY</t>
  </si>
  <si>
    <t>Employee Signature:</t>
  </si>
  <si>
    <t>Date:</t>
  </si>
  <si>
    <t>Manager Signature:</t>
  </si>
  <si>
    <t>SUGGESTED FILENAME:</t>
  </si>
  <si>
    <t>Russell Hoag</t>
  </si>
  <si>
    <t>T9697</t>
  </si>
  <si>
    <t>3</t>
  </si>
  <si>
    <t>CURRENT DRAW/
SHOP/FIELD HRS</t>
  </si>
  <si>
    <t>Period</t>
  </si>
  <si>
    <t>Start Date</t>
  </si>
  <si>
    <t>End Date</t>
  </si>
  <si>
    <t>Pay Day</t>
  </si>
  <si>
    <t>12/15/2025 - 12/28/2025</t>
  </si>
  <si>
    <t>12/29/2025 - 1/11/2026</t>
  </si>
  <si>
    <t>1/12/2026 - 1/25/2026</t>
  </si>
  <si>
    <t>1/26/2026 - 2/8/2026</t>
  </si>
  <si>
    <t>2/9/2026 - 2/22/2026</t>
  </si>
  <si>
    <t>2/23/2026 - 3/8/2026</t>
  </si>
  <si>
    <t>3/9/2026 - 3/22/2026</t>
  </si>
  <si>
    <t>3/23/2026 - 4/5/2026</t>
  </si>
  <si>
    <t>4/6/2026 - 4/19/2026</t>
  </si>
  <si>
    <t>4/20/2026 - 5/3/2026</t>
  </si>
  <si>
    <t>5/4/2026 - 5/17/2026</t>
  </si>
  <si>
    <t>5/18/2026 - 5/31/2026</t>
  </si>
  <si>
    <t>6/1/2026 - 6/14/2026</t>
  </si>
  <si>
    <t>6/15/2026 - 6/28/2026</t>
  </si>
  <si>
    <t>6/29/2026 - 7/12/2026</t>
  </si>
  <si>
    <t>7/13/2026 - 7/26/2026</t>
  </si>
  <si>
    <t>7/27/2026 - 8/9/2026</t>
  </si>
  <si>
    <t>8/10/2026 - 8/23/2026</t>
  </si>
  <si>
    <t>8/24/2026 - 9/6/2026</t>
  </si>
  <si>
    <t>9/7/2026 - 9/20/2026</t>
  </si>
  <si>
    <t>9/21/2026 - 10/4/2026</t>
  </si>
  <si>
    <t>10/5/2026 - 10/18/2026</t>
  </si>
  <si>
    <t>10/19/2026 - 11/1/2026</t>
  </si>
  <si>
    <t>11/2/2026 - 11/15/2026</t>
  </si>
  <si>
    <t>11/16/2026 - 11/29/2026</t>
  </si>
  <si>
    <t>11/30/2026 - 12/13/2026</t>
  </si>
  <si>
    <t>12/14/2026 - 12/27/2026</t>
  </si>
  <si>
    <t>12/28/2026 - 1/10/2027</t>
  </si>
  <si>
    <t>Tech #</t>
  </si>
  <si>
    <t>Name</t>
  </si>
  <si>
    <t>Level</t>
  </si>
  <si>
    <t>Mileage</t>
  </si>
  <si>
    <t>Shop/Field</t>
  </si>
  <si>
    <t>No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</si>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</sst>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rgb="FF000080"/>
      <name val="Calibri"/>
      <family val="2"/>
    </font>
    <font>
      <b/>
      <sz val="9"/>
      <color rgb="FFFFFFFF"/>
      <name val="Calibri"/>
      <family val="2"/>
    </font>
    <font>
      <b/>
      <sz val="11"/>
      <name val="Calibri"/>
      <family val="2"/>
    </font>
    <font>
      <i/>
      <sz val="9"/>
      <color rgb="FF888888"/>
      <name val="Calibri"/>
      <family val="2"/>
    </font>
    <font>
      <b/>
      <sz val="10"/>
      <name val="Calibri"/>
      <family val="2"/>
    </font>
    <font>
      <b/>
      <sz val="10"/>
      <color rgb="FFFF0000"/>
      <name val="Calibri"/>
      <family val="2"/>
    </font>
    <font>
      <b/>
      <sz val="11"/>
      <color rgb="FFFF0000"/>
      <name val="Calibri"/>
      <family val="2"/>
    </font>
    <font>
      <b/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99"/>
      </patternFill>
    </fill>
    <fill>
      <patternFill patternType="solid">
        <fgColor rgb="FF1F3864"/>
      </patternFill>
    </fill>
    <fill>
      <patternFill patternType="solid">
        <fgColor rgb="FFDEEAF1"/>
      </patternFill>
    </fill>
    <fill>
      <patternFill patternType="solid">
        <fgColor rgb="FFFFFFFF"/>
      </patternFill>
    </fill>
    <fill>
      <patternFill patternType="solid">
        <fgColor rgb="FFC6EFCE"/>
      </patternFill>
    </fill>
    <fill>
      <patternFill patternType="solid">
        <fgColor rgb="FFFFF2CC"/>
      </patternFill>
    </fill>
  </fills>
  <borders count="3">
    <border>
      <left/>
      <right/>
      <top/>
      <bottom/>
      <diagonal/>
    </border>
    <border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2" borderId="1" xfId="0" applyFont="1" applyFill="1" applyBorder="1" applyAlignment="1" applyProtection="1">
      <alignment horizontal="center" vertical="center"/>
      <protection locked="0"/>
    </xf>
    <xf numFmtId="164" fontId="1" fillId="0" borderId="0" xfId="0" applyNumberFormat="1" applyFont="1"/>
    <xf numFmtId="0" fontId="3" fillId="3" borderId="1" xfId="0" applyFont="1" applyFill="1" applyBorder="1" applyAlignment="1">
      <alignment horizontal="center" vertical="center" wrapText="1"/>
    </xf>
    <xf numFmtId="0" fontId="0" fillId="4" borderId="1" xfId="0" applyFill="1" applyBorder="1" applyAlignment="1" applyProtection="1">
      <alignment horizontal="left" vertical="center"/>
      <protection locked="0"/>
    </xf>
    <xf numFmtId="164" fontId="0" fillId="4" borderId="1" xfId="0" applyNumberFormat="1" applyFill="1" applyBorder="1" applyAlignment="1" applyProtection="1">
      <alignment horizontal="left" vertical="center"/>
      <protection locked="0"/>
    </xf>
    <xf numFmtId="2" fontId="0" fillId="4" borderId="1" xfId="0" applyNumberFormat="1" applyFill="1" applyBorder="1" applyAlignment="1" applyProtection="1">
      <alignment horizontal="left" vertical="center"/>
      <protection locked="0"/>
    </xf>
    <xf numFmtId="2" fontId="0" fillId="2" borderId="1" xfId="0" applyNumberFormat="1" applyFill="1" applyBorder="1" applyAlignment="1" applyProtection="1">
      <alignment horizontal="center" vertical="center"/>
      <protection locked="0"/>
    </xf>
    <xf numFmtId="0" fontId="0" fillId="5" borderId="1" xfId="0" applyFill="1" applyBorder="1" applyAlignment="1" applyProtection="1">
      <alignment horizontal="left" vertical="center"/>
      <protection locked="0"/>
    </xf>
    <xf numFmtId="164" fontId="0" fillId="5" borderId="1" xfId="0" applyNumberFormat="1" applyFill="1" applyBorder="1" applyAlignment="1" applyProtection="1">
      <alignment horizontal="left" vertical="center"/>
      <protection locked="0"/>
    </xf>
    <xf numFmtId="2" fontId="0" fillId="5" borderId="1" xfId="0" applyNumberFormat="1" applyFill="1" applyBorder="1" applyAlignment="1" applyProtection="1">
      <alignment horizontal="left" vertical="center"/>
      <protection locked="0"/>
    </xf>
    <xf numFmtId="0" fontId="4" fillId="0" borderId="0" xfId="0" applyFont="1"/>
    <xf numFmtId="2" fontId="4" fillId="6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0" fillId="0" borderId="2" xfId="0" applyBorder="1"/>
    <xf numFmtId="0" fontId="7" fillId="0" borderId="0" xfId="0" applyFont="1"/>
    <xf numFmtId="0" fontId="8" fillId="7" borderId="0" xfId="0" applyFont="1" applyFill="1" applyProtection="1">
      <protection locked="0"/>
    </xf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EBEBA6BB-659B-D01C-566D-846E50B8D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652776B-EACD-CBED-FECF-512EBBDA4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56</xdr:row>
          <xdr:rowOff>19050</xdr:rowOff>
        </xdr:from>
        <xdr:to>
          <xdr:col>1</xdr:col>
          <xdr:colOff>790575</xdr:colOff>
          <xdr:row>56</xdr:row>
          <xdr:rowOff>352425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756415C4-C93F-D50C-3A6F-6AAEFDB94F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Correct Name...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56</xdr:row>
          <xdr:rowOff>19050</xdr:rowOff>
        </xdr:from>
        <xdr:to>
          <xdr:col>2</xdr:col>
          <xdr:colOff>19050</xdr:colOff>
          <xdr:row>56</xdr:row>
          <xdr:rowOff>352425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162F05FE-44BE-5405-28DF-55EBEBEBE2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 Row Below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2:O57"/>
  <sheetViews>
    <sheetView tabSelected="1"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5" width="12" customWidth="1"/>
  </cols>
  <sheetData>
    <row r="2" spans="1:15" x14ac:dyDescent="0.25">
      <c r="A2" s="1" t="s">
        <v>0</v>
      </c>
      <c r="B2" s="1" t="s">
        <v>1</v>
      </c>
      <c r="K2" s="1" t="s">
        <v>2</v>
      </c>
      <c r="M2" s="1" t="s">
        <v>3</v>
      </c>
    </row>
    <row r="3" spans="1:15" x14ac:dyDescent="0.25">
      <c r="A3" s="1" t="s">
        <v>4</v>
      </c>
      <c r="B3" s="1" t="s">
        <v>5</v>
      </c>
      <c r="I3" s="1" t="s">
        <v>6</v>
      </c>
      <c r="M3" s="2"/>
    </row>
    <row r="4" spans="1:15" x14ac:dyDescent="0.25">
      <c r="A4" s="1" t="s">
        <v>7</v>
      </c>
      <c r="B4" s="1" t="s">
        <v>8</v>
      </c>
      <c r="I4" s="1" t="s">
        <v>9</v>
      </c>
      <c r="M4" s="3" t="str">
        <f>IFERROR(INDEX(_PayrollDates!$B:$B,MATCH(M3,_PayrollDates!$A:$A,0)),"")</f>
        <v/>
      </c>
    </row>
    <row r="5" spans="1:15" x14ac:dyDescent="0.25">
      <c r="I5" s="1" t="s">
        <v>10</v>
      </c>
      <c r="M5" s="3" t="str">
        <f>IFERROR(INDEX(_PayrollDates!$C:$C,MATCH(M3,_PayrollDates!$A:$A,0)),"")</f>
        <v/>
      </c>
    </row>
    <row r="6" spans="1:15" ht="6" customHeight="1" x14ac:dyDescent="0.25"/>
    <row r="7" spans="1:15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23</v>
      </c>
      <c r="N7" s="4" t="s">
        <v>24</v>
      </c>
      <c r="O7" s="4" t="s">
        <v>25</v>
      </c>
    </row>
    <row r="8" spans="1:15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  <c r="O8" s="8"/>
    </row>
    <row r="9" spans="1:15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  <c r="O9" s="8"/>
    </row>
    <row r="10" spans="1:15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  <c r="O10" s="8"/>
    </row>
    <row r="11" spans="1:15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  <c r="O11" s="8"/>
    </row>
    <row r="12" spans="1:15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  <c r="O12" s="8"/>
    </row>
    <row r="13" spans="1:15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  <c r="O13" s="8"/>
    </row>
    <row r="14" spans="1:15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  <c r="O14" s="8"/>
    </row>
    <row r="15" spans="1:15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  <c r="O15" s="8"/>
    </row>
    <row r="16" spans="1:15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  <c r="O16" s="8"/>
    </row>
    <row r="17" spans="1:15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  <c r="O17" s="8"/>
    </row>
    <row r="18" spans="1:15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  <c r="O18" s="8"/>
    </row>
    <row r="19" spans="1:15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  <c r="O19" s="8"/>
    </row>
    <row r="20" spans="1:15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  <c r="O20" s="8"/>
    </row>
    <row r="21" spans="1:15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  <c r="O21" s="8"/>
    </row>
    <row r="22" spans="1:15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  <c r="O22" s="8"/>
    </row>
    <row r="23" spans="1:15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  <c r="O23" s="8"/>
    </row>
    <row r="24" spans="1:15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  <c r="O24" s="8"/>
    </row>
    <row r="25" spans="1:15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  <c r="O25" s="8"/>
    </row>
    <row r="26" spans="1:15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  <c r="O26" s="8"/>
    </row>
    <row r="27" spans="1:15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  <c r="O27" s="8"/>
    </row>
    <row r="28" spans="1:15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  <c r="O28" s="8"/>
    </row>
    <row r="29" spans="1:15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  <c r="O29" s="8"/>
    </row>
    <row r="30" spans="1:15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  <c r="O30" s="8"/>
    </row>
    <row r="31" spans="1:15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  <c r="O31" s="8"/>
    </row>
    <row r="32" spans="1:15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  <c r="O32" s="8"/>
    </row>
    <row r="33" spans="1:15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  <c r="O33" s="8"/>
    </row>
    <row r="34" spans="1:15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  <c r="O34" s="8"/>
    </row>
    <row r="35" spans="1:15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  <c r="O35" s="8"/>
    </row>
    <row r="36" spans="1:15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  <c r="O36" s="8"/>
    </row>
    <row r="37" spans="1:15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  <c r="O37" s="8"/>
    </row>
    <row r="38" spans="1:15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  <c r="O38" s="8"/>
    </row>
    <row r="39" spans="1:15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  <c r="O39" s="8"/>
    </row>
    <row r="40" spans="1:15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  <c r="O40" s="8"/>
    </row>
    <row r="41" spans="1:15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  <c r="O41" s="8"/>
    </row>
    <row r="42" spans="1:15" ht="6" customHeight="1" x14ac:dyDescent="0.25"/>
    <row r="43" spans="1:15" x14ac:dyDescent="0.25">
      <c r="A43" s="12" t="s">
        <v>26</v>
      </c>
      <c r="M43" s="13">
        <f>SUM(M8:M41)</f>
        <v>0</v>
      </c>
      <c r="N43" s="13">
        <f>SUM(N8:N41)</f>
        <v>0</v>
      </c>
      <c r="O43" s="13">
        <f>SUM(O8:O41)</f>
        <v>0</v>
      </c>
    </row>
    <row r="44" spans="1:15" x14ac:dyDescent="0.25">
      <c r="A44" s="1" t="s">
        <v>27</v>
      </c>
      <c r="B44" s="8">
        <v>0</v>
      </c>
    </row>
    <row r="45" spans="1:15" x14ac:dyDescent="0.25">
      <c r="A45" s="1" t="s">
        <v>28</v>
      </c>
      <c r="B45" s="8">
        <v>0</v>
      </c>
    </row>
    <row r="46" spans="1:15" x14ac:dyDescent="0.25">
      <c r="A46" s="1" t="s">
        <v>29</v>
      </c>
      <c r="B46" s="8">
        <v>0</v>
      </c>
    </row>
    <row r="47" spans="1:15" x14ac:dyDescent="0.25">
      <c r="A47" s="1" t="s">
        <v>30</v>
      </c>
      <c r="B47" s="8">
        <v>0</v>
      </c>
    </row>
    <row r="48" spans="1:15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O7" xr:uid="{00000000-0001-0000-0000-000000000000}"/>
  <dataValidations count="1">
    <dataValidation type="list" allowBlank="1" showErrorMessage="1" errorTitle="Invalid value" error="Choose from the list" sqref="D8:D41" xr:uid="{00000000-0002-0000-00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0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2:N57"/>
  <sheetViews>
    <sheetView workbookViewId="0"/>
  </sheetViews>
  <sheetFormatPr defaultRowHeight="15" x14ac:dyDescent="0.25"/>
  <cols>
    <col min="1" max="1" width="30" customWidth="1"/>
    <col min="2" max="2" width="44" customWidth="1"/>
    <col min="3" max="4" width="12" customWidth="1"/>
    <col min="5" max="5" width="13" customWidth="1"/>
    <col min="6" max="6" width="10" customWidth="1"/>
    <col min="7" max="7" width="13" customWidth="1"/>
    <col min="8" max="8" width="10" customWidth="1"/>
    <col min="9" max="9" width="13" customWidth="1"/>
    <col min="10" max="10" width="10" customWidth="1"/>
    <col min="11" max="11" width="14" customWidth="1"/>
    <col min="12" max="12" width="12" customWidth="1"/>
    <col min="13" max="13" width="18" customWidth="1"/>
    <col min="14" max="14" width="12" customWidth="1"/>
  </cols>
  <sheetData>
    <row r="2" spans="1:14" x14ac:dyDescent="0.25">
      <c r="A2" s="1" t="s">
        <v>0</v>
      </c>
      <c r="B2" s="1" t="s">
        <v>36</v>
      </c>
      <c r="K2" s="1" t="s">
        <v>2</v>
      </c>
      <c r="M2" s="1" t="s">
        <v>3</v>
      </c>
    </row>
    <row r="3" spans="1:14" x14ac:dyDescent="0.25">
      <c r="A3" s="1" t="s">
        <v>4</v>
      </c>
      <c r="B3" s="1" t="s">
        <v>37</v>
      </c>
      <c r="I3" s="1" t="s">
        <v>6</v>
      </c>
      <c r="M3" s="2"/>
    </row>
    <row r="4" spans="1:14" x14ac:dyDescent="0.25">
      <c r="A4" s="1" t="s">
        <v>7</v>
      </c>
      <c r="B4" s="1" t="s">
        <v>38</v>
      </c>
      <c r="I4" s="1" t="s">
        <v>9</v>
      </c>
      <c r="M4" s="3" t="str">
        <f>IFERROR(INDEX(_PayrollDates!$B:$B,MATCH(M3,_PayrollDates!$A:$A,0)),"")</f>
        <v/>
      </c>
    </row>
    <row r="5" spans="1:14" x14ac:dyDescent="0.25">
      <c r="I5" s="1" t="s">
        <v>10</v>
      </c>
      <c r="M5" s="3" t="str">
        <f>IFERROR(INDEX(_PayrollDates!$C:$C,MATCH(M3,_PayrollDates!$A:$A,0)),"")</f>
        <v/>
      </c>
    </row>
    <row r="6" spans="1:14" ht="6" customHeight="1" x14ac:dyDescent="0.25"/>
    <row r="7" spans="1:14" ht="36" customHeight="1" x14ac:dyDescent="0.25">
      <c r="A7" s="4" t="s">
        <v>11</v>
      </c>
      <c r="B7" s="4" t="s">
        <v>12</v>
      </c>
      <c r="C7" s="4" t="s">
        <v>13</v>
      </c>
      <c r="D7" s="4" t="s">
        <v>14</v>
      </c>
      <c r="E7" s="4" t="s">
        <v>15</v>
      </c>
      <c r="F7" s="4" t="s">
        <v>16</v>
      </c>
      <c r="G7" s="4" t="s">
        <v>17</v>
      </c>
      <c r="H7" s="4" t="s">
        <v>18</v>
      </c>
      <c r="I7" s="4" t="s">
        <v>19</v>
      </c>
      <c r="J7" s="4" t="s">
        <v>20</v>
      </c>
      <c r="K7" s="4" t="s">
        <v>21</v>
      </c>
      <c r="L7" s="4" t="s">
        <v>22</v>
      </c>
      <c r="M7" s="4" t="s">
        <v>39</v>
      </c>
      <c r="N7" s="4" t="s">
        <v>25</v>
      </c>
    </row>
    <row r="8" spans="1:14" x14ac:dyDescent="0.25">
      <c r="A8" s="5"/>
      <c r="B8" s="5"/>
      <c r="C8" s="5"/>
      <c r="D8" s="5"/>
      <c r="E8" s="6"/>
      <c r="F8" s="7"/>
      <c r="G8" s="6"/>
      <c r="H8" s="7"/>
      <c r="I8" s="6"/>
      <c r="J8" s="7"/>
      <c r="K8" s="6"/>
      <c r="L8" s="7"/>
      <c r="M8" s="8"/>
      <c r="N8" s="8"/>
    </row>
    <row r="9" spans="1:14" x14ac:dyDescent="0.25">
      <c r="A9" s="9"/>
      <c r="B9" s="9"/>
      <c r="C9" s="9"/>
      <c r="D9" s="9"/>
      <c r="E9" s="10"/>
      <c r="F9" s="11"/>
      <c r="G9" s="10"/>
      <c r="H9" s="11"/>
      <c r="I9" s="10"/>
      <c r="J9" s="11"/>
      <c r="K9" s="10"/>
      <c r="L9" s="11"/>
      <c r="M9" s="8"/>
      <c r="N9" s="8"/>
    </row>
    <row r="10" spans="1:14" x14ac:dyDescent="0.25">
      <c r="A10" s="5"/>
      <c r="B10" s="5"/>
      <c r="C10" s="5"/>
      <c r="D10" s="5"/>
      <c r="E10" s="6"/>
      <c r="F10" s="7"/>
      <c r="G10" s="6"/>
      <c r="H10" s="7"/>
      <c r="I10" s="6"/>
      <c r="J10" s="7"/>
      <c r="K10" s="6"/>
      <c r="L10" s="7"/>
      <c r="M10" s="8"/>
      <c r="N10" s="8"/>
    </row>
    <row r="11" spans="1:14" x14ac:dyDescent="0.25">
      <c r="A11" s="9"/>
      <c r="B11" s="9"/>
      <c r="C11" s="9"/>
      <c r="D11" s="9"/>
      <c r="E11" s="10"/>
      <c r="F11" s="11"/>
      <c r="G11" s="10"/>
      <c r="H11" s="11"/>
      <c r="I11" s="10"/>
      <c r="J11" s="11"/>
      <c r="K11" s="10"/>
      <c r="L11" s="11"/>
      <c r="M11" s="8"/>
      <c r="N11" s="8"/>
    </row>
    <row r="12" spans="1:14" x14ac:dyDescent="0.25">
      <c r="A12" s="5"/>
      <c r="B12" s="5"/>
      <c r="C12" s="5"/>
      <c r="D12" s="5"/>
      <c r="E12" s="6"/>
      <c r="F12" s="7"/>
      <c r="G12" s="6"/>
      <c r="H12" s="7"/>
      <c r="I12" s="6"/>
      <c r="J12" s="7"/>
      <c r="K12" s="6"/>
      <c r="L12" s="7"/>
      <c r="M12" s="8"/>
      <c r="N12" s="8"/>
    </row>
    <row r="13" spans="1:14" x14ac:dyDescent="0.25">
      <c r="A13" s="9"/>
      <c r="B13" s="9"/>
      <c r="C13" s="9"/>
      <c r="D13" s="9"/>
      <c r="E13" s="10"/>
      <c r="F13" s="11"/>
      <c r="G13" s="10"/>
      <c r="H13" s="11"/>
      <c r="I13" s="10"/>
      <c r="J13" s="11"/>
      <c r="K13" s="10"/>
      <c r="L13" s="11"/>
      <c r="M13" s="8"/>
      <c r="N13" s="8"/>
    </row>
    <row r="14" spans="1:14" x14ac:dyDescent="0.25">
      <c r="A14" s="5"/>
      <c r="B14" s="5"/>
      <c r="C14" s="5"/>
      <c r="D14" s="5"/>
      <c r="E14" s="6"/>
      <c r="F14" s="7"/>
      <c r="G14" s="6"/>
      <c r="H14" s="7"/>
      <c r="I14" s="6"/>
      <c r="J14" s="7"/>
      <c r="K14" s="6"/>
      <c r="L14" s="7"/>
      <c r="M14" s="8"/>
      <c r="N14" s="8"/>
    </row>
    <row r="15" spans="1:14" x14ac:dyDescent="0.25">
      <c r="A15" s="9"/>
      <c r="B15" s="9"/>
      <c r="C15" s="9"/>
      <c r="D15" s="9"/>
      <c r="E15" s="10"/>
      <c r="F15" s="11"/>
      <c r="G15" s="10"/>
      <c r="H15" s="11"/>
      <c r="I15" s="10"/>
      <c r="J15" s="11"/>
      <c r="K15" s="10"/>
      <c r="L15" s="11"/>
      <c r="M15" s="8"/>
      <c r="N15" s="8"/>
    </row>
    <row r="16" spans="1:14" x14ac:dyDescent="0.25">
      <c r="A16" s="5"/>
      <c r="B16" s="5"/>
      <c r="C16" s="5"/>
      <c r="D16" s="5"/>
      <c r="E16" s="6"/>
      <c r="F16" s="7"/>
      <c r="G16" s="6"/>
      <c r="H16" s="7"/>
      <c r="I16" s="6"/>
      <c r="J16" s="7"/>
      <c r="K16" s="6"/>
      <c r="L16" s="7"/>
      <c r="M16" s="8"/>
      <c r="N16" s="8"/>
    </row>
    <row r="17" spans="1:14" x14ac:dyDescent="0.25">
      <c r="A17" s="9"/>
      <c r="B17" s="9"/>
      <c r="C17" s="9"/>
      <c r="D17" s="9"/>
      <c r="E17" s="10"/>
      <c r="F17" s="11"/>
      <c r="G17" s="10"/>
      <c r="H17" s="11"/>
      <c r="I17" s="10"/>
      <c r="J17" s="11"/>
      <c r="K17" s="10"/>
      <c r="L17" s="11"/>
      <c r="M17" s="8"/>
      <c r="N17" s="8"/>
    </row>
    <row r="18" spans="1:14" x14ac:dyDescent="0.25">
      <c r="A18" s="5"/>
      <c r="B18" s="5"/>
      <c r="C18" s="5"/>
      <c r="D18" s="5"/>
      <c r="E18" s="6"/>
      <c r="F18" s="7"/>
      <c r="G18" s="6"/>
      <c r="H18" s="7"/>
      <c r="I18" s="6"/>
      <c r="J18" s="7"/>
      <c r="K18" s="6"/>
      <c r="L18" s="7"/>
      <c r="M18" s="8"/>
      <c r="N18" s="8"/>
    </row>
    <row r="19" spans="1:14" x14ac:dyDescent="0.25">
      <c r="A19" s="9"/>
      <c r="B19" s="9"/>
      <c r="C19" s="9"/>
      <c r="D19" s="9"/>
      <c r="E19" s="10"/>
      <c r="F19" s="11"/>
      <c r="G19" s="10"/>
      <c r="H19" s="11"/>
      <c r="I19" s="10"/>
      <c r="J19" s="11"/>
      <c r="K19" s="10"/>
      <c r="L19" s="11"/>
      <c r="M19" s="8"/>
      <c r="N19" s="8"/>
    </row>
    <row r="20" spans="1:14" x14ac:dyDescent="0.25">
      <c r="A20" s="5"/>
      <c r="B20" s="5"/>
      <c r="C20" s="5"/>
      <c r="D20" s="5"/>
      <c r="E20" s="6"/>
      <c r="F20" s="7"/>
      <c r="G20" s="6"/>
      <c r="H20" s="7"/>
      <c r="I20" s="6"/>
      <c r="J20" s="7"/>
      <c r="K20" s="6"/>
      <c r="L20" s="7"/>
      <c r="M20" s="8"/>
      <c r="N20" s="8"/>
    </row>
    <row r="21" spans="1:14" x14ac:dyDescent="0.25">
      <c r="A21" s="9"/>
      <c r="B21" s="9"/>
      <c r="C21" s="9"/>
      <c r="D21" s="9"/>
      <c r="E21" s="10"/>
      <c r="F21" s="11"/>
      <c r="G21" s="10"/>
      <c r="H21" s="11"/>
      <c r="I21" s="10"/>
      <c r="J21" s="11"/>
      <c r="K21" s="10"/>
      <c r="L21" s="11"/>
      <c r="M21" s="8"/>
      <c r="N21" s="8"/>
    </row>
    <row r="22" spans="1:14" x14ac:dyDescent="0.25">
      <c r="A22" s="5"/>
      <c r="B22" s="5"/>
      <c r="C22" s="5"/>
      <c r="D22" s="5"/>
      <c r="E22" s="6"/>
      <c r="F22" s="7"/>
      <c r="G22" s="6"/>
      <c r="H22" s="7"/>
      <c r="I22" s="6"/>
      <c r="J22" s="7"/>
      <c r="K22" s="6"/>
      <c r="L22" s="7"/>
      <c r="M22" s="8"/>
      <c r="N22" s="8"/>
    </row>
    <row r="23" spans="1:14" x14ac:dyDescent="0.25">
      <c r="A23" s="9"/>
      <c r="B23" s="9"/>
      <c r="C23" s="9"/>
      <c r="D23" s="9"/>
      <c r="E23" s="10"/>
      <c r="F23" s="11"/>
      <c r="G23" s="10"/>
      <c r="H23" s="11"/>
      <c r="I23" s="10"/>
      <c r="J23" s="11"/>
      <c r="K23" s="10"/>
      <c r="L23" s="11"/>
      <c r="M23" s="8"/>
      <c r="N23" s="8"/>
    </row>
    <row r="24" spans="1:14" x14ac:dyDescent="0.25">
      <c r="A24" s="5"/>
      <c r="B24" s="5"/>
      <c r="C24" s="5"/>
      <c r="D24" s="5"/>
      <c r="E24" s="6"/>
      <c r="F24" s="7"/>
      <c r="G24" s="6"/>
      <c r="H24" s="7"/>
      <c r="I24" s="6"/>
      <c r="J24" s="7"/>
      <c r="K24" s="6"/>
      <c r="L24" s="7"/>
      <c r="M24" s="8"/>
      <c r="N24" s="8"/>
    </row>
    <row r="25" spans="1:14" x14ac:dyDescent="0.25">
      <c r="A25" s="9"/>
      <c r="B25" s="9"/>
      <c r="C25" s="9"/>
      <c r="D25" s="9"/>
      <c r="E25" s="10"/>
      <c r="F25" s="11"/>
      <c r="G25" s="10"/>
      <c r="H25" s="11"/>
      <c r="I25" s="10"/>
      <c r="J25" s="11"/>
      <c r="K25" s="10"/>
      <c r="L25" s="11"/>
      <c r="M25" s="8"/>
      <c r="N25" s="8"/>
    </row>
    <row r="26" spans="1:14" x14ac:dyDescent="0.25">
      <c r="A26" s="5"/>
      <c r="B26" s="5"/>
      <c r="C26" s="5"/>
      <c r="D26" s="5"/>
      <c r="E26" s="6"/>
      <c r="F26" s="7"/>
      <c r="G26" s="6"/>
      <c r="H26" s="7"/>
      <c r="I26" s="6"/>
      <c r="J26" s="7"/>
      <c r="K26" s="6"/>
      <c r="L26" s="7"/>
      <c r="M26" s="8"/>
      <c r="N26" s="8"/>
    </row>
    <row r="27" spans="1:14" x14ac:dyDescent="0.25">
      <c r="A27" s="9"/>
      <c r="B27" s="9"/>
      <c r="C27" s="9"/>
      <c r="D27" s="9"/>
      <c r="E27" s="10"/>
      <c r="F27" s="11"/>
      <c r="G27" s="10"/>
      <c r="H27" s="11"/>
      <c r="I27" s="10"/>
      <c r="J27" s="11"/>
      <c r="K27" s="10"/>
      <c r="L27" s="11"/>
      <c r="M27" s="8"/>
      <c r="N27" s="8"/>
    </row>
    <row r="28" spans="1:14" x14ac:dyDescent="0.25">
      <c r="A28" s="5"/>
      <c r="B28" s="5"/>
      <c r="C28" s="5"/>
      <c r="D28" s="5"/>
      <c r="E28" s="6"/>
      <c r="F28" s="7"/>
      <c r="G28" s="6"/>
      <c r="H28" s="7"/>
      <c r="I28" s="6"/>
      <c r="J28" s="7"/>
      <c r="K28" s="6"/>
      <c r="L28" s="7"/>
      <c r="M28" s="8"/>
      <c r="N28" s="8"/>
    </row>
    <row r="29" spans="1:14" x14ac:dyDescent="0.25">
      <c r="A29" s="9"/>
      <c r="B29" s="9"/>
      <c r="C29" s="9"/>
      <c r="D29" s="9"/>
      <c r="E29" s="10"/>
      <c r="F29" s="11"/>
      <c r="G29" s="10"/>
      <c r="H29" s="11"/>
      <c r="I29" s="10"/>
      <c r="J29" s="11"/>
      <c r="K29" s="10"/>
      <c r="L29" s="11"/>
      <c r="M29" s="8"/>
      <c r="N29" s="8"/>
    </row>
    <row r="30" spans="1:14" x14ac:dyDescent="0.25">
      <c r="A30" s="5"/>
      <c r="B30" s="5"/>
      <c r="C30" s="5"/>
      <c r="D30" s="5"/>
      <c r="E30" s="6"/>
      <c r="F30" s="7"/>
      <c r="G30" s="6"/>
      <c r="H30" s="7"/>
      <c r="I30" s="6"/>
      <c r="J30" s="7"/>
      <c r="K30" s="6"/>
      <c r="L30" s="7"/>
      <c r="M30" s="8"/>
      <c r="N30" s="8"/>
    </row>
    <row r="31" spans="1:14" x14ac:dyDescent="0.25">
      <c r="A31" s="9"/>
      <c r="B31" s="9"/>
      <c r="C31" s="9"/>
      <c r="D31" s="9"/>
      <c r="E31" s="10"/>
      <c r="F31" s="11"/>
      <c r="G31" s="10"/>
      <c r="H31" s="11"/>
      <c r="I31" s="10"/>
      <c r="J31" s="11"/>
      <c r="K31" s="10"/>
      <c r="L31" s="11"/>
      <c r="M31" s="8"/>
      <c r="N31" s="8"/>
    </row>
    <row r="32" spans="1:14" x14ac:dyDescent="0.25">
      <c r="A32" s="5"/>
      <c r="B32" s="5"/>
      <c r="C32" s="5"/>
      <c r="D32" s="5"/>
      <c r="E32" s="6"/>
      <c r="F32" s="7"/>
      <c r="G32" s="6"/>
      <c r="H32" s="7"/>
      <c r="I32" s="6"/>
      <c r="J32" s="7"/>
      <c r="K32" s="6"/>
      <c r="L32" s="7"/>
      <c r="M32" s="8"/>
      <c r="N32" s="8"/>
    </row>
    <row r="33" spans="1:14" x14ac:dyDescent="0.25">
      <c r="A33" s="9"/>
      <c r="B33" s="9"/>
      <c r="C33" s="9"/>
      <c r="D33" s="9"/>
      <c r="E33" s="10"/>
      <c r="F33" s="11"/>
      <c r="G33" s="10"/>
      <c r="H33" s="11"/>
      <c r="I33" s="10"/>
      <c r="J33" s="11"/>
      <c r="K33" s="10"/>
      <c r="L33" s="11"/>
      <c r="M33" s="8"/>
      <c r="N33" s="8"/>
    </row>
    <row r="34" spans="1:14" x14ac:dyDescent="0.25">
      <c r="A34" s="5"/>
      <c r="B34" s="5"/>
      <c r="C34" s="5"/>
      <c r="D34" s="5"/>
      <c r="E34" s="6"/>
      <c r="F34" s="7"/>
      <c r="G34" s="6"/>
      <c r="H34" s="7"/>
      <c r="I34" s="6"/>
      <c r="J34" s="7"/>
      <c r="K34" s="6"/>
      <c r="L34" s="7"/>
      <c r="M34" s="8"/>
      <c r="N34" s="8"/>
    </row>
    <row r="35" spans="1:14" x14ac:dyDescent="0.25">
      <c r="A35" s="9"/>
      <c r="B35" s="9"/>
      <c r="C35" s="9"/>
      <c r="D35" s="9"/>
      <c r="E35" s="10"/>
      <c r="F35" s="11"/>
      <c r="G35" s="10"/>
      <c r="H35" s="11"/>
      <c r="I35" s="10"/>
      <c r="J35" s="11"/>
      <c r="K35" s="10"/>
      <c r="L35" s="11"/>
      <c r="M35" s="8"/>
      <c r="N35" s="8"/>
    </row>
    <row r="36" spans="1:14" x14ac:dyDescent="0.25">
      <c r="A36" s="5"/>
      <c r="B36" s="5"/>
      <c r="C36" s="5"/>
      <c r="D36" s="5"/>
      <c r="E36" s="6"/>
      <c r="F36" s="7"/>
      <c r="G36" s="6"/>
      <c r="H36" s="7"/>
      <c r="I36" s="6"/>
      <c r="J36" s="7"/>
      <c r="K36" s="6"/>
      <c r="L36" s="7"/>
      <c r="M36" s="8"/>
      <c r="N36" s="8"/>
    </row>
    <row r="37" spans="1:14" x14ac:dyDescent="0.25">
      <c r="A37" s="9"/>
      <c r="B37" s="9"/>
      <c r="C37" s="9"/>
      <c r="D37" s="9"/>
      <c r="E37" s="10"/>
      <c r="F37" s="11"/>
      <c r="G37" s="10"/>
      <c r="H37" s="11"/>
      <c r="I37" s="10"/>
      <c r="J37" s="11"/>
      <c r="K37" s="10"/>
      <c r="L37" s="11"/>
      <c r="M37" s="8"/>
      <c r="N37" s="8"/>
    </row>
    <row r="38" spans="1:14" x14ac:dyDescent="0.25">
      <c r="A38" s="5"/>
      <c r="B38" s="5"/>
      <c r="C38" s="5"/>
      <c r="D38" s="5"/>
      <c r="E38" s="6"/>
      <c r="F38" s="7"/>
      <c r="G38" s="6"/>
      <c r="H38" s="7"/>
      <c r="I38" s="6"/>
      <c r="J38" s="7"/>
      <c r="K38" s="6"/>
      <c r="L38" s="7"/>
      <c r="M38" s="8"/>
      <c r="N38" s="8"/>
    </row>
    <row r="39" spans="1:14" x14ac:dyDescent="0.25">
      <c r="A39" s="9"/>
      <c r="B39" s="9"/>
      <c r="C39" s="9"/>
      <c r="D39" s="9"/>
      <c r="E39" s="10"/>
      <c r="F39" s="11"/>
      <c r="G39" s="10"/>
      <c r="H39" s="11"/>
      <c r="I39" s="10"/>
      <c r="J39" s="11"/>
      <c r="K39" s="10"/>
      <c r="L39" s="11"/>
      <c r="M39" s="8"/>
      <c r="N39" s="8"/>
    </row>
    <row r="40" spans="1:14" x14ac:dyDescent="0.25">
      <c r="A40" s="5"/>
      <c r="B40" s="5"/>
      <c r="C40" s="5"/>
      <c r="D40" s="5"/>
      <c r="E40" s="6"/>
      <c r="F40" s="7"/>
      <c r="G40" s="6"/>
      <c r="H40" s="7"/>
      <c r="I40" s="6"/>
      <c r="J40" s="7"/>
      <c r="K40" s="6"/>
      <c r="L40" s="7"/>
      <c r="M40" s="8"/>
      <c r="N40" s="8"/>
    </row>
    <row r="41" spans="1:14" x14ac:dyDescent="0.25">
      <c r="A41" s="9"/>
      <c r="B41" s="9"/>
      <c r="C41" s="9"/>
      <c r="D41" s="9"/>
      <c r="E41" s="10"/>
      <c r="F41" s="11"/>
      <c r="G41" s="10"/>
      <c r="H41" s="11"/>
      <c r="I41" s="10"/>
      <c r="J41" s="11"/>
      <c r="K41" s="10"/>
      <c r="L41" s="11"/>
      <c r="M41" s="8"/>
      <c r="N41" s="8"/>
    </row>
    <row r="42" spans="1:14" ht="6" customHeight="1" x14ac:dyDescent="0.25"/>
    <row r="43" spans="1:14" x14ac:dyDescent="0.25">
      <c r="A43" s="12" t="s">
        <v>26</v>
      </c>
      <c r="M43" s="13">
        <f>SUM(M8:M41)</f>
        <v>0</v>
      </c>
      <c r="N43" s="13">
        <f>SUM(N8:N41)</f>
        <v>0</v>
      </c>
    </row>
    <row r="44" spans="1:14" x14ac:dyDescent="0.25">
      <c r="A44" s="1" t="s">
        <v>27</v>
      </c>
      <c r="B44" s="8">
        <v>0</v>
      </c>
    </row>
    <row r="45" spans="1:14" x14ac:dyDescent="0.25">
      <c r="A45" s="1" t="s">
        <v>28</v>
      </c>
      <c r="B45" s="8">
        <v>0</v>
      </c>
    </row>
    <row r="46" spans="1:14" x14ac:dyDescent="0.25">
      <c r="A46" s="1" t="s">
        <v>29</v>
      </c>
      <c r="B46" s="8">
        <v>0</v>
      </c>
    </row>
    <row r="47" spans="1:14" x14ac:dyDescent="0.25">
      <c r="A47" s="1" t="s">
        <v>30</v>
      </c>
      <c r="B47" s="8">
        <v>0</v>
      </c>
    </row>
    <row r="48" spans="1:14" x14ac:dyDescent="0.25">
      <c r="A48" s="14" t="s">
        <v>31</v>
      </c>
    </row>
    <row r="50" spans="1:12" ht="8.1" customHeight="1" x14ac:dyDescent="0.25"/>
    <row r="51" spans="1:12" ht="24" customHeight="1" x14ac:dyDescent="0.25">
      <c r="A51" s="15" t="s">
        <v>32</v>
      </c>
      <c r="B51" s="16"/>
      <c r="C51" s="16"/>
      <c r="D51" s="16"/>
      <c r="E51" s="16"/>
      <c r="F51" s="16"/>
      <c r="G51" s="16"/>
      <c r="H51" s="16"/>
      <c r="I51" s="15" t="s">
        <v>33</v>
      </c>
      <c r="J51" s="16"/>
      <c r="K51" s="16"/>
      <c r="L51" s="16"/>
    </row>
    <row r="52" spans="1:12" ht="9.9499999999999993" customHeight="1" x14ac:dyDescent="0.25"/>
    <row r="53" spans="1:12" ht="24" customHeight="1" x14ac:dyDescent="0.25">
      <c r="A53" s="15" t="s">
        <v>34</v>
      </c>
      <c r="B53" s="16"/>
      <c r="C53" s="16"/>
      <c r="D53" s="16"/>
      <c r="E53" s="16"/>
      <c r="F53" s="16"/>
      <c r="G53" s="16"/>
      <c r="H53" s="16"/>
      <c r="I53" s="15" t="s">
        <v>33</v>
      </c>
      <c r="J53" s="16"/>
      <c r="K53" s="16"/>
      <c r="L53" s="16"/>
    </row>
    <row r="55" spans="1:12" ht="6" customHeight="1" x14ac:dyDescent="0.25"/>
    <row r="56" spans="1:12" x14ac:dyDescent="0.25">
      <c r="A56" s="17" t="s">
        <v>35</v>
      </c>
      <c r="B56" s="18" t="str">
        <f>IF(M3="","&lt;- Select Pay Period in M3 first","SNYDER TECHS "&amp;TEXT(M4,"MM.DD.YY")&amp;" to "&amp;TEXT(M5,"MM.DD.YY"))</f>
        <v>&lt;- Select Pay Period in M3 first</v>
      </c>
    </row>
    <row r="57" spans="1:12" ht="30" customHeight="1" x14ac:dyDescent="0.25"/>
  </sheetData>
  <sheetProtection sheet="1" objects="1" scenarios="1"/>
  <autoFilter ref="A7:N7" xr:uid="{00000000-0001-0000-0100-000000000000}"/>
  <dataValidations count="1">
    <dataValidation type="list" allowBlank="1" showErrorMessage="1" errorTitle="Invalid value" error="Choose from the list" sqref="D8:D41" xr:uid="{00000000-0002-0000-0100-000000000000}">
      <formula1>"0%,25%,50%,75%,100%"</formula1>
    </dataValidation>
  </dataValidations>
  <pageMargins left="0.25" right="0.25" top="0.25" bottom="0.25" header="0.5" footer="0.5"/>
  <pageSetup fitToHeight="0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SaveTimeSheet">
                <anchor moveWithCells="1" sizeWithCells="1">
                  <from>
                    <xdr:col>0</xdr:col>
                    <xdr:colOff>0</xdr:colOff>
                    <xdr:row>56</xdr:row>
                    <xdr:rowOff>19050</xdr:rowOff>
                  </from>
                  <to>
                    <xdr:col>1</xdr:col>
                    <xdr:colOff>790575</xdr:colOff>
                    <xdr:row>56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InsertDataRow">
                <anchor moveWithCells="1" sizeWithCells="1">
                  <from>
                    <xdr:col>1</xdr:col>
                    <xdr:colOff>914400</xdr:colOff>
                    <xdr:row>56</xdr:row>
                    <xdr:rowOff>19050</xdr:rowOff>
                  </from>
                  <to>
                    <xdr:col>2</xdr:col>
                    <xdr:colOff>19050</xdr:colOff>
                    <xdr:row>56</xdr:row>
                    <xdr:rowOff>352425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errorTitle="Invalid period" error="Choose a pay period from the list" xr:uid="{00000000-0002-0000-0100-000001000000}">
          <x14:formula1>
            <xm:f>_PayrollDates!$A$2:$A$29</xm:f>
          </x14:formula1>
          <xm:sqref>M3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29"/>
  <sheetViews>
    <sheetView workbookViewId="0"/>
  </sheetViews>
  <sheetFormatPr defaultRowHeight="15" x14ac:dyDescent="0.25"/>
  <sheetData>
    <row r="1" spans="1:4" x14ac:dyDescent="0.25">
      <c r="A1" t="s">
        <v>40</v>
      </c>
      <c r="B1" t="s">
        <v>41</v>
      </c>
      <c r="C1" t="s">
        <v>42</v>
      </c>
      <c r="D1" t="s">
        <v>43</v>
      </c>
    </row>
    <row r="2" spans="1:4" x14ac:dyDescent="0.25">
      <c r="A2" t="s">
        <v>44</v>
      </c>
      <c r="B2" s="19">
        <v>46006</v>
      </c>
      <c r="C2" s="19">
        <v>46019</v>
      </c>
      <c r="D2" s="19">
        <v>46024</v>
      </c>
    </row>
    <row r="3" spans="1:4" x14ac:dyDescent="0.25">
      <c r="A3" t="s">
        <v>45</v>
      </c>
      <c r="B3" s="19">
        <v>46020</v>
      </c>
      <c r="C3" s="19">
        <v>46033</v>
      </c>
      <c r="D3" s="19">
        <v>46038</v>
      </c>
    </row>
    <row r="4" spans="1:4" x14ac:dyDescent="0.25">
      <c r="A4" t="s">
        <v>46</v>
      </c>
      <c r="B4" s="19">
        <v>46034</v>
      </c>
      <c r="C4" s="19">
        <v>46047</v>
      </c>
      <c r="D4" s="19">
        <v>46052</v>
      </c>
    </row>
    <row r="5" spans="1:4" x14ac:dyDescent="0.25">
      <c r="A5" t="s">
        <v>47</v>
      </c>
      <c r="B5" s="19">
        <v>46048</v>
      </c>
      <c r="C5" s="19">
        <v>46061</v>
      </c>
      <c r="D5" s="19">
        <v>46066</v>
      </c>
    </row>
    <row r="6" spans="1:4" x14ac:dyDescent="0.25">
      <c r="A6" t="s">
        <v>48</v>
      </c>
      <c r="B6" s="19">
        <v>46062</v>
      </c>
      <c r="C6" s="19">
        <v>46075</v>
      </c>
      <c r="D6" s="19">
        <v>46080</v>
      </c>
    </row>
    <row r="7" spans="1:4" x14ac:dyDescent="0.25">
      <c r="A7" t="s">
        <v>49</v>
      </c>
      <c r="B7" s="19">
        <v>46076</v>
      </c>
      <c r="C7" s="19">
        <v>46089</v>
      </c>
      <c r="D7" s="19">
        <v>46094</v>
      </c>
    </row>
    <row r="8" spans="1:4" x14ac:dyDescent="0.25">
      <c r="A8" t="s">
        <v>50</v>
      </c>
      <c r="B8" s="19">
        <v>46090</v>
      </c>
      <c r="C8" s="19">
        <v>46103</v>
      </c>
      <c r="D8" s="19">
        <v>46108</v>
      </c>
    </row>
    <row r="9" spans="1:4" x14ac:dyDescent="0.25">
      <c r="A9" t="s">
        <v>51</v>
      </c>
      <c r="B9" s="19">
        <v>46104</v>
      </c>
      <c r="C9" s="19">
        <v>46117</v>
      </c>
      <c r="D9" s="19">
        <v>46122</v>
      </c>
    </row>
    <row r="10" spans="1:4" x14ac:dyDescent="0.25">
      <c r="A10" t="s">
        <v>52</v>
      </c>
      <c r="B10" s="19">
        <v>46118</v>
      </c>
      <c r="C10" s="19">
        <v>46131</v>
      </c>
      <c r="D10" s="19">
        <v>46136</v>
      </c>
    </row>
    <row r="11" spans="1:4" x14ac:dyDescent="0.25">
      <c r="A11" t="s">
        <v>53</v>
      </c>
      <c r="B11" s="19">
        <v>46132</v>
      </c>
      <c r="C11" s="19">
        <v>46145</v>
      </c>
      <c r="D11" s="19">
        <v>46150</v>
      </c>
    </row>
    <row r="12" spans="1:4" x14ac:dyDescent="0.25">
      <c r="A12" t="s">
        <v>54</v>
      </c>
      <c r="B12" s="19">
        <v>46146</v>
      </c>
      <c r="C12" s="19">
        <v>46159</v>
      </c>
      <c r="D12" s="19">
        <v>46164</v>
      </c>
    </row>
    <row r="13" spans="1:4" x14ac:dyDescent="0.25">
      <c r="A13" t="s">
        <v>55</v>
      </c>
      <c r="B13" s="19">
        <v>46160</v>
      </c>
      <c r="C13" s="19">
        <v>46173</v>
      </c>
      <c r="D13" s="19">
        <v>46178</v>
      </c>
    </row>
    <row r="14" spans="1:4" x14ac:dyDescent="0.25">
      <c r="A14" t="s">
        <v>56</v>
      </c>
      <c r="B14" s="19">
        <v>46174</v>
      </c>
      <c r="C14" s="19">
        <v>46187</v>
      </c>
      <c r="D14" s="19">
        <v>46192</v>
      </c>
    </row>
    <row r="15" spans="1:4" x14ac:dyDescent="0.25">
      <c r="A15" t="s">
        <v>57</v>
      </c>
      <c r="B15" s="19">
        <v>46188</v>
      </c>
      <c r="C15" s="19">
        <v>46201</v>
      </c>
      <c r="D15" s="19">
        <v>46206</v>
      </c>
    </row>
    <row r="16" spans="1:4" x14ac:dyDescent="0.25">
      <c r="A16" t="s">
        <v>58</v>
      </c>
      <c r="B16" s="19">
        <v>46202</v>
      </c>
      <c r="C16" s="19">
        <v>46215</v>
      </c>
      <c r="D16" s="19">
        <v>46220</v>
      </c>
    </row>
    <row r="17" spans="1:4" x14ac:dyDescent="0.25">
      <c r="A17" t="s">
        <v>59</v>
      </c>
      <c r="B17" s="19">
        <v>46216</v>
      </c>
      <c r="C17" s="19">
        <v>46229</v>
      </c>
      <c r="D17" s="19">
        <v>46234</v>
      </c>
    </row>
    <row r="18" spans="1:4" x14ac:dyDescent="0.25">
      <c r="A18" t="s">
        <v>60</v>
      </c>
      <c r="B18" s="19">
        <v>46230</v>
      </c>
      <c r="C18" s="19">
        <v>46243</v>
      </c>
      <c r="D18" s="19">
        <v>46248</v>
      </c>
    </row>
    <row r="19" spans="1:4" x14ac:dyDescent="0.25">
      <c r="A19" t="s">
        <v>61</v>
      </c>
      <c r="B19" s="19">
        <v>46244</v>
      </c>
      <c r="C19" s="19">
        <v>46257</v>
      </c>
      <c r="D19" s="19">
        <v>46262</v>
      </c>
    </row>
    <row r="20" spans="1:4" x14ac:dyDescent="0.25">
      <c r="A20" t="s">
        <v>62</v>
      </c>
      <c r="B20" s="19">
        <v>46258</v>
      </c>
      <c r="C20" s="19">
        <v>46271</v>
      </c>
      <c r="D20" s="19">
        <v>46276</v>
      </c>
    </row>
    <row r="21" spans="1:4" x14ac:dyDescent="0.25">
      <c r="A21" t="s">
        <v>63</v>
      </c>
      <c r="B21" s="19">
        <v>46272</v>
      </c>
      <c r="C21" s="19">
        <v>46285</v>
      </c>
      <c r="D21" s="19">
        <v>46290</v>
      </c>
    </row>
    <row r="22" spans="1:4" x14ac:dyDescent="0.25">
      <c r="A22" t="s">
        <v>64</v>
      </c>
      <c r="B22" s="19">
        <v>46286</v>
      </c>
      <c r="C22" s="19">
        <v>46299</v>
      </c>
      <c r="D22" s="19">
        <v>46304</v>
      </c>
    </row>
    <row r="23" spans="1:4" x14ac:dyDescent="0.25">
      <c r="A23" t="s">
        <v>65</v>
      </c>
      <c r="B23" s="19">
        <v>46300</v>
      </c>
      <c r="C23" s="19">
        <v>46313</v>
      </c>
      <c r="D23" s="19">
        <v>46318</v>
      </c>
    </row>
    <row r="24" spans="1:4" x14ac:dyDescent="0.25">
      <c r="A24" t="s">
        <v>66</v>
      </c>
      <c r="B24" s="19">
        <v>46314</v>
      </c>
      <c r="C24" s="19">
        <v>46327</v>
      </c>
      <c r="D24" s="19">
        <v>46332</v>
      </c>
    </row>
    <row r="25" spans="1:4" x14ac:dyDescent="0.25">
      <c r="A25" t="s">
        <v>67</v>
      </c>
      <c r="B25" s="19">
        <v>46328</v>
      </c>
      <c r="C25" s="19">
        <v>46341</v>
      </c>
      <c r="D25" s="19">
        <v>46346</v>
      </c>
    </row>
    <row r="26" spans="1:4" x14ac:dyDescent="0.25">
      <c r="A26" t="s">
        <v>68</v>
      </c>
      <c r="B26" s="19">
        <v>46342</v>
      </c>
      <c r="C26" s="19">
        <v>46355</v>
      </c>
      <c r="D26" s="19">
        <v>46360</v>
      </c>
    </row>
    <row r="27" spans="1:4" x14ac:dyDescent="0.25">
      <c r="A27" t="s">
        <v>69</v>
      </c>
      <c r="B27" s="19">
        <v>46356</v>
      </c>
      <c r="C27" s="19">
        <v>46369</v>
      </c>
      <c r="D27" s="19">
        <v>46374</v>
      </c>
    </row>
    <row r="28" spans="1:4" x14ac:dyDescent="0.25">
      <c r="A28" t="s">
        <v>70</v>
      </c>
      <c r="B28" s="19">
        <v>46370</v>
      </c>
      <c r="C28" s="19">
        <v>46383</v>
      </c>
      <c r="D28" s="19">
        <v>46388</v>
      </c>
    </row>
    <row r="29" spans="1:4" x14ac:dyDescent="0.25">
      <c r="A29" t="s">
        <v>71</v>
      </c>
      <c r="B29" s="19">
        <v>46384</v>
      </c>
      <c r="C29" s="19">
        <v>46397</v>
      </c>
      <c r="D29" s="19">
        <v>46402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3"/>
  <sheetViews>
    <sheetView workbookViewId="0"/>
  </sheetViews>
  <sheetFormatPr defaultRowHeight="15" x14ac:dyDescent="0.25"/>
  <sheetData>
    <row r="1" spans="1:5" x14ac:dyDescent="0.25">
      <c r="A1" t="s">
        <v>72</v>
      </c>
      <c r="B1" t="s">
        <v>73</v>
      </c>
      <c r="C1" t="s">
        <v>74</v>
      </c>
      <c r="D1" t="s">
        <v>75</v>
      </c>
      <c r="E1" t="s">
        <v>76</v>
      </c>
    </row>
    <row r="2" spans="1:5" x14ac:dyDescent="0.25">
      <c r="A2" t="s">
        <v>5</v>
      </c>
      <c r="B2" t="s">
        <v>1</v>
      </c>
      <c r="C2" t="s">
        <v>8</v>
      </c>
      <c r="D2" t="s">
        <v>77</v>
      </c>
      <c r="E2" t="s">
        <v>78</v>
      </c>
    </row>
    <row r="3" spans="1:5" x14ac:dyDescent="0.25">
      <c r="A3" t="s">
        <v>37</v>
      </c>
      <c r="B3" t="s">
        <v>36</v>
      </c>
      <c r="C3" t="s">
        <v>38</v>
      </c>
      <c r="D3" t="s">
        <v>77</v>
      </c>
      <c r="E3" t="s">
        <v>77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Orrin Brooks</vt:lpstr>
      <vt:lpstr>Russell Hoag</vt:lpstr>
      <vt:lpstr>_PayrollDates</vt:lpstr>
      <vt:lpstr>_TechLookup</vt:lpstr>
      <vt:lpstr>'Orrin Brooks'!Print_Area</vt:lpstr>
      <vt:lpstr>'Russell Hoag'!Print_Area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Brian Fox</cp:lastModifiedBy>
  <dcterms:created xsi:type="dcterms:W3CDTF">2026-09-08T13:14:22Z</dcterms:created>
  <dcterms:modified xsi:type="dcterms:W3CDTF">2026-09-08T13:14:37Z</dcterms:modified>
</cp:coreProperties>
</file>