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fox\Documents\Git-Projects\data-projects\projects\service time sheets\templates\"/>
    </mc:Choice>
  </mc:AlternateContent>
  <xr:revisionPtr revIDLastSave="0" documentId="8_{BDC27A51-4663-4330-BB43-32825886F01B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Wallace Abernathy" sheetId="1" r:id="rId1"/>
    <sheet name="Jose Garay" sheetId="2" r:id="rId2"/>
    <sheet name="Steven Perez" sheetId="3" r:id="rId3"/>
    <sheet name="_PayrollDates" sheetId="4" state="hidden" r:id="rId4"/>
    <sheet name="_TechLookup" sheetId="5" state="hidden" r:id="rId5"/>
  </sheets>
  <definedNames>
    <definedName name="_xlnm._FilterDatabase" localSheetId="1" hidden="1">'Jose Garay'!$A$7:$O$7</definedName>
    <definedName name="_xlnm._FilterDatabase" localSheetId="2" hidden="1">'Steven Perez'!$A$7:$O$7</definedName>
    <definedName name="_xlnm._FilterDatabase" localSheetId="0" hidden="1">'Wallace Abernathy'!$A$7:$P$7</definedName>
    <definedName name="_xlnm.Print_Area" localSheetId="1">'Jose Garay'!$A$1:$O$56</definedName>
    <definedName name="_xlnm.Print_Area" localSheetId="2">'Steven Perez'!$A$1:$O$56</definedName>
    <definedName name="_xlnm.Print_Area" localSheetId="0">'Wallace Abernathy'!$A$1:$P$56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6" i="3" l="1"/>
  <c r="O43" i="3"/>
  <c r="N43" i="3"/>
  <c r="M43" i="3"/>
  <c r="M5" i="3"/>
  <c r="M4" i="3"/>
  <c r="B56" i="2"/>
  <c r="O43" i="2"/>
  <c r="N43" i="2"/>
  <c r="M43" i="2"/>
  <c r="M5" i="2"/>
  <c r="M4" i="2"/>
  <c r="B56" i="1"/>
  <c r="P43" i="1"/>
  <c r="O43" i="1"/>
  <c r="N43" i="1"/>
  <c r="M43" i="1"/>
  <c r="M5" i="1"/>
  <c r="M4" i="1"/>
</calcChain>
</file>

<file path=xl/sharedStrings.xml><?xml version="1.0" encoding="utf-8"?>
<sst xmlns="http://schemas.openxmlformats.org/spreadsheetml/2006/main" count="164" uniqueCount="83">
  <si>
    <t>TECHNICIAN NAME:</t>
  </si>
  <si>
    <t>Wallace Abernathy</t>
  </si>
  <si>
    <t>LOCATION:</t>
  </si>
  <si>
    <t>MORTON</t>
  </si>
  <si>
    <t>TECH #:</t>
  </si>
  <si>
    <t>T1600</t>
  </si>
  <si>
    <t>PAY PERIOD:</t>
  </si>
  <si>
    <t>TECH LEVEL:</t>
  </si>
  <si>
    <t>SM</t>
  </si>
  <si>
    <t>PAYROLL START DATE (MON):</t>
  </si>
  <si>
    <t>PAYROLL END DATE (SUN):</t>
  </si>
  <si>
    <t>CUSTOMER NAME</t>
  </si>
  <si>
    <t>MODEL</t>
  </si>
  <si>
    <t>RO#</t>
  </si>
  <si>
    <t>% WORK
COMPLETE</t>
  </si>
  <si>
    <t>*DRAW#1
DATE</t>
  </si>
  <si>
    <t>*DRAW#1
HRS</t>
  </si>
  <si>
    <t>*DRAW#2
DATE</t>
  </si>
  <si>
    <t>*DRAW#2
HRS</t>
  </si>
  <si>
    <t>*DRAW#3
DATE</t>
  </si>
  <si>
    <t>*DRAW#3
HRS</t>
  </si>
  <si>
    <t>*FINAL DRAW
DATE</t>
  </si>
  <si>
    <t>*FINAL DRAW
HRS</t>
  </si>
  <si>
    <t>SHOP
HRS</t>
  </si>
  <si>
    <t>FIELD
HRS</t>
  </si>
  <si>
    <t>AFTER
HOURS</t>
  </si>
  <si>
    <t>MILEAGE
(x $1.85)</t>
  </si>
  <si>
    <t>TOTAL HOURS</t>
  </si>
  <si>
    <t>HOLIDAY HOURS</t>
  </si>
  <si>
    <t>PTO HOURS</t>
  </si>
  <si>
    <t>NO PAY HOURS</t>
  </si>
  <si>
    <t>CIRCUMSTANTIAL HOURS</t>
  </si>
  <si>
    <t>*FOR RECORD KEEPING PURPOSES ONLY</t>
  </si>
  <si>
    <t>Employee Signature:</t>
  </si>
  <si>
    <t>Date:</t>
  </si>
  <si>
    <t>Manager Signature:</t>
  </si>
  <si>
    <t>SUGGESTED FILENAME:</t>
  </si>
  <si>
    <t>Jose Garay</t>
  </si>
  <si>
    <t>T1336</t>
  </si>
  <si>
    <t>5</t>
  </si>
  <si>
    <t>CURRENT DRAW/
SHOP/FIELD HRS</t>
  </si>
  <si>
    <t>Steven Perez</t>
  </si>
  <si>
    <t>T1505</t>
  </si>
  <si>
    <t>3</t>
  </si>
  <si>
    <t>Period</t>
  </si>
  <si>
    <t>Start Date</t>
  </si>
  <si>
    <t>End Date</t>
  </si>
  <si>
    <t>Pay Day</t>
  </si>
  <si>
    <t>12/15/2025 - 12/28/2025</t>
  </si>
  <si>
    <t>12/29/2025 - 1/11/2026</t>
  </si>
  <si>
    <t>1/12/2026 - 1/25/2026</t>
  </si>
  <si>
    <t>1/26/2026 - 2/8/2026</t>
  </si>
  <si>
    <t>2/9/2026 - 2/22/2026</t>
  </si>
  <si>
    <t>2/23/2026 - 3/8/2026</t>
  </si>
  <si>
    <t>3/9/2026 - 3/22/2026</t>
  </si>
  <si>
    <t>3/23/2026 - 4/5/2026</t>
  </si>
  <si>
    <t>4/6/2026 - 4/19/2026</t>
  </si>
  <si>
    <t>4/20/2026 - 5/3/2026</t>
  </si>
  <si>
    <t>5/4/2026 - 5/17/2026</t>
  </si>
  <si>
    <t>5/18/2026 - 5/31/2026</t>
  </si>
  <si>
    <t>6/1/2026 - 6/14/2026</t>
  </si>
  <si>
    <t>6/15/2026 - 6/28/2026</t>
  </si>
  <si>
    <t>6/29/2026 - 7/12/2026</t>
  </si>
  <si>
    <t>7/13/2026 - 7/26/2026</t>
  </si>
  <si>
    <t>7/27/2026 - 8/9/2026</t>
  </si>
  <si>
    <t>8/10/2026 - 8/23/2026</t>
  </si>
  <si>
    <t>8/24/2026 - 9/6/2026</t>
  </si>
  <si>
    <t>9/7/2026 - 9/20/2026</t>
  </si>
  <si>
    <t>9/21/2026 - 10/4/2026</t>
  </si>
  <si>
    <t>10/5/2026 - 10/18/2026</t>
  </si>
  <si>
    <t>10/19/2026 - 11/1/2026</t>
  </si>
  <si>
    <t>11/2/2026 - 11/15/2026</t>
  </si>
  <si>
    <t>11/16/2026 - 11/29/2026</t>
  </si>
  <si>
    <t>11/30/2026 - 12/13/2026</t>
  </si>
  <si>
    <t>12/14/2026 - 12/27/2026</t>
  </si>
  <si>
    <t>12/28/2026 - 1/10/2027</t>
  </si>
  <si>
    <t>Tech #</t>
  </si>
  <si>
    <t>Name</t>
  </si>
  <si>
    <t>Level</t>
  </si>
  <si>
    <t>Mileage</t>
  </si>
  <si>
    <t>Shop/Field</t>
  </si>
  <si>
    <t>Yes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</si>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</sst>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0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1"/>
      <color rgb="FF000080"/>
      <name val="Calibri"/>
      <family val="2"/>
    </font>
    <font>
      <b/>
      <sz val="9"/>
      <color rgb="FFFFFFFF"/>
      <name val="Calibri"/>
      <family val="2"/>
    </font>
    <font>
      <b/>
      <sz val="11"/>
      <name val="Calibri"/>
      <family val="2"/>
    </font>
    <font>
      <i/>
      <sz val="9"/>
      <color rgb="FF888888"/>
      <name val="Calibri"/>
      <family val="2"/>
    </font>
    <font>
      <b/>
      <sz val="10"/>
      <name val="Calibri"/>
      <family val="2"/>
    </font>
    <font>
      <b/>
      <sz val="10"/>
      <color rgb="FFFF0000"/>
      <name val="Calibri"/>
      <family val="2"/>
    </font>
    <font>
      <b/>
      <sz val="11"/>
      <color rgb="FFFF0000"/>
      <name val="Calibri"/>
      <family val="2"/>
    </font>
    <font>
      <b/>
      <sz val="1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99"/>
      </patternFill>
    </fill>
    <fill>
      <patternFill patternType="solid">
        <fgColor rgb="FF1F3864"/>
      </patternFill>
    </fill>
    <fill>
      <patternFill patternType="solid">
        <fgColor rgb="FFDEEAF1"/>
      </patternFill>
    </fill>
    <fill>
      <patternFill patternType="solid">
        <fgColor rgb="FFFFFFFF"/>
      </patternFill>
    </fill>
    <fill>
      <patternFill patternType="solid">
        <fgColor rgb="FFC6EFCE"/>
      </patternFill>
    </fill>
    <fill>
      <patternFill patternType="solid">
        <fgColor rgb="FFFFF2CC"/>
      </patternFill>
    </fill>
  </fills>
  <borders count="3">
    <border>
      <left/>
      <right/>
      <top/>
      <bottom/>
      <diagonal/>
    </border>
    <border>
      <left style="thin">
        <color rgb="FFAAAAAA"/>
      </left>
      <right style="thin">
        <color rgb="FFAAAAAA"/>
      </right>
      <top style="thin">
        <color rgb="FFAAAAAA"/>
      </top>
      <bottom style="thin">
        <color rgb="FFAAAAAA"/>
      </bottom>
      <diagonal/>
    </border>
    <border>
      <left/>
      <right/>
      <top/>
      <bottom style="medium">
        <color rgb="FF000000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0" fontId="2" fillId="2" borderId="1" xfId="0" applyFont="1" applyFill="1" applyBorder="1" applyAlignment="1" applyProtection="1">
      <alignment horizontal="center" vertical="center"/>
      <protection locked="0"/>
    </xf>
    <xf numFmtId="164" fontId="1" fillId="0" borderId="0" xfId="0" applyNumberFormat="1" applyFont="1"/>
    <xf numFmtId="0" fontId="3" fillId="3" borderId="1" xfId="0" applyFont="1" applyFill="1" applyBorder="1" applyAlignment="1">
      <alignment horizontal="center" vertical="center" wrapText="1"/>
    </xf>
    <xf numFmtId="0" fontId="0" fillId="4" borderId="1" xfId="0" applyFill="1" applyBorder="1" applyAlignment="1" applyProtection="1">
      <alignment horizontal="left" vertical="center"/>
      <protection locked="0"/>
    </xf>
    <xf numFmtId="164" fontId="0" fillId="4" borderId="1" xfId="0" applyNumberFormat="1" applyFill="1" applyBorder="1" applyAlignment="1" applyProtection="1">
      <alignment horizontal="left" vertical="center"/>
      <protection locked="0"/>
    </xf>
    <xf numFmtId="2" fontId="0" fillId="4" borderId="1" xfId="0" applyNumberFormat="1" applyFill="1" applyBorder="1" applyAlignment="1" applyProtection="1">
      <alignment horizontal="left" vertical="center"/>
      <protection locked="0"/>
    </xf>
    <xf numFmtId="2" fontId="0" fillId="2" borderId="1" xfId="0" applyNumberFormat="1" applyFill="1" applyBorder="1" applyAlignment="1" applyProtection="1">
      <alignment horizontal="center" vertical="center"/>
      <protection locked="0"/>
    </xf>
    <xf numFmtId="0" fontId="0" fillId="5" borderId="1" xfId="0" applyFill="1" applyBorder="1" applyAlignment="1" applyProtection="1">
      <alignment horizontal="left" vertical="center"/>
      <protection locked="0"/>
    </xf>
    <xf numFmtId="164" fontId="0" fillId="5" borderId="1" xfId="0" applyNumberFormat="1" applyFill="1" applyBorder="1" applyAlignment="1" applyProtection="1">
      <alignment horizontal="left" vertical="center"/>
      <protection locked="0"/>
    </xf>
    <xf numFmtId="2" fontId="0" fillId="5" borderId="1" xfId="0" applyNumberFormat="1" applyFill="1" applyBorder="1" applyAlignment="1" applyProtection="1">
      <alignment horizontal="left" vertical="center"/>
      <protection locked="0"/>
    </xf>
    <xf numFmtId="0" fontId="4" fillId="0" borderId="0" xfId="0" applyFont="1"/>
    <xf numFmtId="2" fontId="4" fillId="6" borderId="1" xfId="0" applyNumberFormat="1" applyFont="1" applyFill="1" applyBorder="1" applyAlignment="1">
      <alignment horizontal="center" vertical="center"/>
    </xf>
    <xf numFmtId="0" fontId="5" fillId="0" borderId="0" xfId="0" applyFont="1"/>
    <xf numFmtId="0" fontId="6" fillId="0" borderId="0" xfId="0" applyFont="1"/>
    <xf numFmtId="0" fontId="0" fillId="0" borderId="2" xfId="0" applyBorder="1"/>
    <xf numFmtId="0" fontId="7" fillId="0" borderId="0" xfId="0" applyFont="1"/>
    <xf numFmtId="0" fontId="8" fillId="7" borderId="0" xfId="0" applyFont="1" applyFill="1" applyProtection="1">
      <protection locked="0"/>
    </xf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58FDADF2-9D07-0373-29FD-ECE642EBA0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96749F4A-E236-60D9-435E-73A57B7AA7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8F22851E-F6A0-2160-2691-6CCE771794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3447B8E1-9EB2-8C25-33D0-38AD63794C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C7697214-FED9-FBB4-FC70-4B8B81BC77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34149460-86BA-6DAB-536D-75FF3198EA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2:P57"/>
  <sheetViews>
    <sheetView tabSelected="1"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5" width="12" customWidth="1"/>
    <col min="16" max="16" width="14" customWidth="1"/>
  </cols>
  <sheetData>
    <row r="2" spans="1:16" x14ac:dyDescent="0.25">
      <c r="A2" s="1" t="s">
        <v>0</v>
      </c>
      <c r="B2" s="1" t="s">
        <v>1</v>
      </c>
      <c r="K2" s="1" t="s">
        <v>2</v>
      </c>
      <c r="M2" s="1" t="s">
        <v>3</v>
      </c>
    </row>
    <row r="3" spans="1:16" x14ac:dyDescent="0.25">
      <c r="A3" s="1" t="s">
        <v>4</v>
      </c>
      <c r="B3" s="1" t="s">
        <v>5</v>
      </c>
      <c r="I3" s="1" t="s">
        <v>6</v>
      </c>
      <c r="M3" s="2"/>
    </row>
    <row r="4" spans="1:16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6" x14ac:dyDescent="0.25">
      <c r="I5" s="1" t="s">
        <v>10</v>
      </c>
      <c r="M5" s="3" t="str">
        <f>IFERROR(INDEX(_PayrollDates!$C:$C,MATCH(M3,_PayrollDates!$A:$A,0)),"")</f>
        <v/>
      </c>
    </row>
    <row r="6" spans="1:16" ht="6" customHeight="1" x14ac:dyDescent="0.25"/>
    <row r="7" spans="1:16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  <c r="O7" s="4" t="s">
        <v>25</v>
      </c>
      <c r="P7" s="4" t="s">
        <v>26</v>
      </c>
    </row>
    <row r="8" spans="1:16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  <c r="P8" s="8"/>
    </row>
    <row r="9" spans="1:16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  <c r="P9" s="8"/>
    </row>
    <row r="10" spans="1:16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  <c r="P10" s="8"/>
    </row>
    <row r="11" spans="1:16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  <c r="P11" s="8"/>
    </row>
    <row r="12" spans="1:16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  <c r="P12" s="8"/>
    </row>
    <row r="13" spans="1:16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  <c r="P13" s="8"/>
    </row>
    <row r="14" spans="1:16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  <c r="P14" s="8"/>
    </row>
    <row r="15" spans="1:16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  <c r="P15" s="8"/>
    </row>
    <row r="16" spans="1:16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  <c r="P16" s="8"/>
    </row>
    <row r="17" spans="1:16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  <c r="P17" s="8"/>
    </row>
    <row r="18" spans="1:16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  <c r="P18" s="8"/>
    </row>
    <row r="19" spans="1:16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  <c r="P19" s="8"/>
    </row>
    <row r="20" spans="1:16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  <c r="P20" s="8"/>
    </row>
    <row r="21" spans="1:16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  <c r="P21" s="8"/>
    </row>
    <row r="22" spans="1:16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  <c r="P22" s="8"/>
    </row>
    <row r="23" spans="1:16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  <c r="P23" s="8"/>
    </row>
    <row r="24" spans="1:16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  <c r="P24" s="8"/>
    </row>
    <row r="25" spans="1:16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  <c r="P25" s="8"/>
    </row>
    <row r="26" spans="1:16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  <c r="P26" s="8"/>
    </row>
    <row r="27" spans="1:16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  <c r="P27" s="8"/>
    </row>
    <row r="28" spans="1:16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  <c r="P28" s="8"/>
    </row>
    <row r="29" spans="1:16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  <c r="P29" s="8"/>
    </row>
    <row r="30" spans="1:16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  <c r="P30" s="8"/>
    </row>
    <row r="31" spans="1:16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  <c r="P31" s="8"/>
    </row>
    <row r="32" spans="1:16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  <c r="P32" s="8"/>
    </row>
    <row r="33" spans="1:16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  <c r="P33" s="8"/>
    </row>
    <row r="34" spans="1:16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  <c r="P34" s="8"/>
    </row>
    <row r="35" spans="1:16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  <c r="P35" s="8"/>
    </row>
    <row r="36" spans="1:16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  <c r="P36" s="8"/>
    </row>
    <row r="37" spans="1:16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  <c r="P37" s="8"/>
    </row>
    <row r="38" spans="1:16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  <c r="P38" s="8"/>
    </row>
    <row r="39" spans="1:16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  <c r="P39" s="8"/>
    </row>
    <row r="40" spans="1:16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  <c r="P40" s="8"/>
    </row>
    <row r="41" spans="1:16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  <c r="P41" s="8"/>
    </row>
    <row r="42" spans="1:16" ht="6" customHeight="1" x14ac:dyDescent="0.25"/>
    <row r="43" spans="1:16" x14ac:dyDescent="0.25">
      <c r="A43" s="12" t="s">
        <v>27</v>
      </c>
      <c r="M43" s="13">
        <f>SUM(M8:M41)</f>
        <v>0</v>
      </c>
      <c r="N43" s="13">
        <f>SUM(N8:N41)</f>
        <v>0</v>
      </c>
      <c r="O43" s="13">
        <f>SUM(O8:O41)</f>
        <v>0</v>
      </c>
      <c r="P43" s="13">
        <f>SUM(P8:P41)</f>
        <v>0</v>
      </c>
    </row>
    <row r="44" spans="1:16" x14ac:dyDescent="0.25">
      <c r="A44" s="1" t="s">
        <v>28</v>
      </c>
      <c r="B44" s="8">
        <v>0</v>
      </c>
    </row>
    <row r="45" spans="1:16" x14ac:dyDescent="0.25">
      <c r="A45" s="1" t="s">
        <v>29</v>
      </c>
      <c r="B45" s="8">
        <v>0</v>
      </c>
    </row>
    <row r="46" spans="1:16" x14ac:dyDescent="0.25">
      <c r="A46" s="1" t="s">
        <v>30</v>
      </c>
      <c r="B46" s="8">
        <v>0</v>
      </c>
    </row>
    <row r="47" spans="1:16" x14ac:dyDescent="0.25">
      <c r="A47" s="1" t="s">
        <v>31</v>
      </c>
      <c r="B47" s="8">
        <v>0</v>
      </c>
    </row>
    <row r="48" spans="1:16" x14ac:dyDescent="0.25">
      <c r="A48" s="14" t="s">
        <v>32</v>
      </c>
    </row>
    <row r="50" spans="1:12" ht="8.1" customHeight="1" x14ac:dyDescent="0.25"/>
    <row r="51" spans="1:12" ht="24" customHeight="1" x14ac:dyDescent="0.25">
      <c r="A51" s="15" t="s">
        <v>33</v>
      </c>
      <c r="B51" s="16"/>
      <c r="C51" s="16"/>
      <c r="D51" s="16"/>
      <c r="E51" s="16"/>
      <c r="F51" s="16"/>
      <c r="G51" s="16"/>
      <c r="H51" s="16"/>
      <c r="I51" s="15" t="s">
        <v>34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35</v>
      </c>
      <c r="B53" s="16"/>
      <c r="C53" s="16"/>
      <c r="D53" s="16"/>
      <c r="E53" s="16"/>
      <c r="F53" s="16"/>
      <c r="G53" s="16"/>
      <c r="H53" s="16"/>
      <c r="I53" s="15" t="s">
        <v>34</v>
      </c>
      <c r="J53" s="16"/>
      <c r="K53" s="16"/>
      <c r="L53" s="16"/>
    </row>
    <row r="55" spans="1:12" ht="6" customHeight="1" x14ac:dyDescent="0.25"/>
    <row r="56" spans="1:12" x14ac:dyDescent="0.25">
      <c r="A56" s="17" t="s">
        <v>36</v>
      </c>
      <c r="B56" s="18" t="str">
        <f>IF(M3="","&lt;- Select Pay Period in M3 first","MORTON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P7" xr:uid="{00000000-0001-0000-0000-000000000000}"/>
  <dataValidations count="1">
    <dataValidation type="list" allowBlank="1" showErrorMessage="1" errorTitle="Invalid value" error="Choose from the list" sqref="D8:D41" xr:uid="{00000000-0002-0000-00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0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2:O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  <col min="15" max="15" width="14" customWidth="1"/>
  </cols>
  <sheetData>
    <row r="2" spans="1:15" x14ac:dyDescent="0.25">
      <c r="A2" s="1" t="s">
        <v>0</v>
      </c>
      <c r="B2" s="1" t="s">
        <v>37</v>
      </c>
      <c r="K2" s="1" t="s">
        <v>2</v>
      </c>
      <c r="M2" s="1" t="s">
        <v>3</v>
      </c>
    </row>
    <row r="3" spans="1:15" x14ac:dyDescent="0.25">
      <c r="A3" s="1" t="s">
        <v>4</v>
      </c>
      <c r="B3" s="1" t="s">
        <v>38</v>
      </c>
      <c r="I3" s="1" t="s">
        <v>6</v>
      </c>
      <c r="M3" s="2"/>
    </row>
    <row r="4" spans="1:15" x14ac:dyDescent="0.25">
      <c r="A4" s="1" t="s">
        <v>7</v>
      </c>
      <c r="B4" s="1" t="s">
        <v>39</v>
      </c>
      <c r="I4" s="1" t="s">
        <v>9</v>
      </c>
      <c r="M4" s="3" t="str">
        <f>IFERROR(INDEX(_PayrollDates!$B:$B,MATCH(M3,_PayrollDates!$A:$A,0)),"")</f>
        <v/>
      </c>
    </row>
    <row r="5" spans="1:15" x14ac:dyDescent="0.25">
      <c r="I5" s="1" t="s">
        <v>10</v>
      </c>
      <c r="M5" s="3" t="str">
        <f>IFERROR(INDEX(_PayrollDates!$C:$C,MATCH(M3,_PayrollDates!$A:$A,0)),"")</f>
        <v/>
      </c>
    </row>
    <row r="6" spans="1:15" ht="6" customHeight="1" x14ac:dyDescent="0.25"/>
    <row r="7" spans="1:15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40</v>
      </c>
      <c r="N7" s="4" t="s">
        <v>25</v>
      </c>
      <c r="O7" s="4" t="s">
        <v>26</v>
      </c>
    </row>
    <row r="8" spans="1:15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</row>
    <row r="9" spans="1:15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</row>
    <row r="10" spans="1:15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</row>
    <row r="11" spans="1:15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</row>
    <row r="12" spans="1:15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</row>
    <row r="13" spans="1:15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</row>
    <row r="14" spans="1:15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</row>
    <row r="15" spans="1:15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</row>
    <row r="16" spans="1:15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</row>
    <row r="17" spans="1:15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</row>
    <row r="18" spans="1:15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</row>
    <row r="19" spans="1:15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</row>
    <row r="20" spans="1:15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</row>
    <row r="21" spans="1:15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</row>
    <row r="22" spans="1:15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</row>
    <row r="23" spans="1:15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</row>
    <row r="24" spans="1:15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</row>
    <row r="25" spans="1:15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</row>
    <row r="26" spans="1:15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</row>
    <row r="27" spans="1:15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</row>
    <row r="28" spans="1:15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</row>
    <row r="29" spans="1:15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</row>
    <row r="30" spans="1:15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</row>
    <row r="31" spans="1:15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</row>
    <row r="32" spans="1:15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</row>
    <row r="33" spans="1:15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</row>
    <row r="34" spans="1:15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</row>
    <row r="35" spans="1:15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</row>
    <row r="36" spans="1:15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</row>
    <row r="37" spans="1:15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</row>
    <row r="38" spans="1:15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</row>
    <row r="39" spans="1:15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</row>
    <row r="40" spans="1:15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</row>
    <row r="41" spans="1:15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</row>
    <row r="42" spans="1:15" ht="6" customHeight="1" x14ac:dyDescent="0.25"/>
    <row r="43" spans="1:15" x14ac:dyDescent="0.25">
      <c r="A43" s="12" t="s">
        <v>27</v>
      </c>
      <c r="M43" s="13">
        <f>SUM(M8:M41)</f>
        <v>0</v>
      </c>
      <c r="N43" s="13">
        <f>SUM(N8:N41)</f>
        <v>0</v>
      </c>
      <c r="O43" s="13">
        <f>SUM(O8:O41)</f>
        <v>0</v>
      </c>
    </row>
    <row r="44" spans="1:15" x14ac:dyDescent="0.25">
      <c r="A44" s="1" t="s">
        <v>28</v>
      </c>
      <c r="B44" s="8">
        <v>0</v>
      </c>
    </row>
    <row r="45" spans="1:15" x14ac:dyDescent="0.25">
      <c r="A45" s="1" t="s">
        <v>29</v>
      </c>
      <c r="B45" s="8">
        <v>0</v>
      </c>
    </row>
    <row r="46" spans="1:15" x14ac:dyDescent="0.25">
      <c r="A46" s="1" t="s">
        <v>30</v>
      </c>
      <c r="B46" s="8">
        <v>0</v>
      </c>
    </row>
    <row r="47" spans="1:15" x14ac:dyDescent="0.25">
      <c r="A47" s="1" t="s">
        <v>31</v>
      </c>
      <c r="B47" s="8">
        <v>0</v>
      </c>
    </row>
    <row r="48" spans="1:15" x14ac:dyDescent="0.25">
      <c r="A48" s="14" t="s">
        <v>32</v>
      </c>
    </row>
    <row r="50" spans="1:12" ht="8.1" customHeight="1" x14ac:dyDescent="0.25"/>
    <row r="51" spans="1:12" ht="24" customHeight="1" x14ac:dyDescent="0.25">
      <c r="A51" s="15" t="s">
        <v>33</v>
      </c>
      <c r="B51" s="16"/>
      <c r="C51" s="16"/>
      <c r="D51" s="16"/>
      <c r="E51" s="16"/>
      <c r="F51" s="16"/>
      <c r="G51" s="16"/>
      <c r="H51" s="16"/>
      <c r="I51" s="15" t="s">
        <v>34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35</v>
      </c>
      <c r="B53" s="16"/>
      <c r="C53" s="16"/>
      <c r="D53" s="16"/>
      <c r="E53" s="16"/>
      <c r="F53" s="16"/>
      <c r="G53" s="16"/>
      <c r="H53" s="16"/>
      <c r="I53" s="15" t="s">
        <v>34</v>
      </c>
      <c r="J53" s="16"/>
      <c r="K53" s="16"/>
      <c r="L53" s="16"/>
    </row>
    <row r="55" spans="1:12" ht="6" customHeight="1" x14ac:dyDescent="0.25"/>
    <row r="56" spans="1:12" x14ac:dyDescent="0.25">
      <c r="A56" s="17" t="s">
        <v>36</v>
      </c>
      <c r="B56" s="18" t="str">
        <f>IF(M3="","&lt;- Select Pay Period in M3 first","MORTON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O7" xr:uid="{00000000-0001-0000-0100-000000000000}"/>
  <dataValidations count="1">
    <dataValidation type="list" allowBlank="1" showErrorMessage="1" errorTitle="Invalid value" error="Choose from the list" sqref="D8:D41" xr:uid="{00000000-0002-0000-01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1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2:O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  <col min="15" max="15" width="14" customWidth="1"/>
  </cols>
  <sheetData>
    <row r="2" spans="1:15" x14ac:dyDescent="0.25">
      <c r="A2" s="1" t="s">
        <v>0</v>
      </c>
      <c r="B2" s="1" t="s">
        <v>41</v>
      </c>
      <c r="K2" s="1" t="s">
        <v>2</v>
      </c>
      <c r="M2" s="1" t="s">
        <v>3</v>
      </c>
    </row>
    <row r="3" spans="1:15" x14ac:dyDescent="0.25">
      <c r="A3" s="1" t="s">
        <v>4</v>
      </c>
      <c r="B3" s="1" t="s">
        <v>42</v>
      </c>
      <c r="I3" s="1" t="s">
        <v>6</v>
      </c>
      <c r="M3" s="2"/>
    </row>
    <row r="4" spans="1:15" x14ac:dyDescent="0.25">
      <c r="A4" s="1" t="s">
        <v>7</v>
      </c>
      <c r="B4" s="1" t="s">
        <v>43</v>
      </c>
      <c r="I4" s="1" t="s">
        <v>9</v>
      </c>
      <c r="M4" s="3" t="str">
        <f>IFERROR(INDEX(_PayrollDates!$B:$B,MATCH(M3,_PayrollDates!$A:$A,0)),"")</f>
        <v/>
      </c>
    </row>
    <row r="5" spans="1:15" x14ac:dyDescent="0.25">
      <c r="I5" s="1" t="s">
        <v>10</v>
      </c>
      <c r="M5" s="3" t="str">
        <f>IFERROR(INDEX(_PayrollDates!$C:$C,MATCH(M3,_PayrollDates!$A:$A,0)),"")</f>
        <v/>
      </c>
    </row>
    <row r="6" spans="1:15" ht="6" customHeight="1" x14ac:dyDescent="0.25"/>
    <row r="7" spans="1:15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40</v>
      </c>
      <c r="N7" s="4" t="s">
        <v>25</v>
      </c>
      <c r="O7" s="4" t="s">
        <v>26</v>
      </c>
    </row>
    <row r="8" spans="1:15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</row>
    <row r="9" spans="1:15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</row>
    <row r="10" spans="1:15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</row>
    <row r="11" spans="1:15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</row>
    <row r="12" spans="1:15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</row>
    <row r="13" spans="1:15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</row>
    <row r="14" spans="1:15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</row>
    <row r="15" spans="1:15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</row>
    <row r="16" spans="1:15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</row>
    <row r="17" spans="1:15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</row>
    <row r="18" spans="1:15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</row>
    <row r="19" spans="1:15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</row>
    <row r="20" spans="1:15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</row>
    <row r="21" spans="1:15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</row>
    <row r="22" spans="1:15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</row>
    <row r="23" spans="1:15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</row>
    <row r="24" spans="1:15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</row>
    <row r="25" spans="1:15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</row>
    <row r="26" spans="1:15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</row>
    <row r="27" spans="1:15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</row>
    <row r="28" spans="1:15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</row>
    <row r="29" spans="1:15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</row>
    <row r="30" spans="1:15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</row>
    <row r="31" spans="1:15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</row>
    <row r="32" spans="1:15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</row>
    <row r="33" spans="1:15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</row>
    <row r="34" spans="1:15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</row>
    <row r="35" spans="1:15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</row>
    <row r="36" spans="1:15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</row>
    <row r="37" spans="1:15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</row>
    <row r="38" spans="1:15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</row>
    <row r="39" spans="1:15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</row>
    <row r="40" spans="1:15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</row>
    <row r="41" spans="1:15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</row>
    <row r="42" spans="1:15" ht="6" customHeight="1" x14ac:dyDescent="0.25"/>
    <row r="43" spans="1:15" x14ac:dyDescent="0.25">
      <c r="A43" s="12" t="s">
        <v>27</v>
      </c>
      <c r="M43" s="13">
        <f>SUM(M8:M41)</f>
        <v>0</v>
      </c>
      <c r="N43" s="13">
        <f>SUM(N8:N41)</f>
        <v>0</v>
      </c>
      <c r="O43" s="13">
        <f>SUM(O8:O41)</f>
        <v>0</v>
      </c>
    </row>
    <row r="44" spans="1:15" x14ac:dyDescent="0.25">
      <c r="A44" s="1" t="s">
        <v>28</v>
      </c>
      <c r="B44" s="8">
        <v>0</v>
      </c>
    </row>
    <row r="45" spans="1:15" x14ac:dyDescent="0.25">
      <c r="A45" s="1" t="s">
        <v>29</v>
      </c>
      <c r="B45" s="8">
        <v>0</v>
      </c>
    </row>
    <row r="46" spans="1:15" x14ac:dyDescent="0.25">
      <c r="A46" s="1" t="s">
        <v>30</v>
      </c>
      <c r="B46" s="8">
        <v>0</v>
      </c>
    </row>
    <row r="47" spans="1:15" x14ac:dyDescent="0.25">
      <c r="A47" s="1" t="s">
        <v>31</v>
      </c>
      <c r="B47" s="8">
        <v>0</v>
      </c>
    </row>
    <row r="48" spans="1:15" x14ac:dyDescent="0.25">
      <c r="A48" s="14" t="s">
        <v>32</v>
      </c>
    </row>
    <row r="50" spans="1:12" ht="8.1" customHeight="1" x14ac:dyDescent="0.25"/>
    <row r="51" spans="1:12" ht="24" customHeight="1" x14ac:dyDescent="0.25">
      <c r="A51" s="15" t="s">
        <v>33</v>
      </c>
      <c r="B51" s="16"/>
      <c r="C51" s="16"/>
      <c r="D51" s="16"/>
      <c r="E51" s="16"/>
      <c r="F51" s="16"/>
      <c r="G51" s="16"/>
      <c r="H51" s="16"/>
      <c r="I51" s="15" t="s">
        <v>34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35</v>
      </c>
      <c r="B53" s="16"/>
      <c r="C53" s="16"/>
      <c r="D53" s="16"/>
      <c r="E53" s="16"/>
      <c r="F53" s="16"/>
      <c r="G53" s="16"/>
      <c r="H53" s="16"/>
      <c r="I53" s="15" t="s">
        <v>34</v>
      </c>
      <c r="J53" s="16"/>
      <c r="K53" s="16"/>
      <c r="L53" s="16"/>
    </row>
    <row r="55" spans="1:12" ht="6" customHeight="1" x14ac:dyDescent="0.25"/>
    <row r="56" spans="1:12" x14ac:dyDescent="0.25">
      <c r="A56" s="17" t="s">
        <v>36</v>
      </c>
      <c r="B56" s="18" t="str">
        <f>IF(M3="","&lt;- Select Pay Period in M3 first","MORTON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O7" xr:uid="{00000000-0001-0000-0200-000000000000}"/>
  <dataValidations count="1">
    <dataValidation type="list" allowBlank="1" showErrorMessage="1" errorTitle="Invalid value" error="Choose from the list" sqref="D8:D41" xr:uid="{00000000-0002-0000-02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2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29"/>
  <sheetViews>
    <sheetView workbookViewId="0"/>
  </sheetViews>
  <sheetFormatPr defaultRowHeight="15" x14ac:dyDescent="0.25"/>
  <sheetData>
    <row r="1" spans="1:4" x14ac:dyDescent="0.25">
      <c r="A1" t="s">
        <v>44</v>
      </c>
      <c r="B1" t="s">
        <v>45</v>
      </c>
      <c r="C1" t="s">
        <v>46</v>
      </c>
      <c r="D1" t="s">
        <v>47</v>
      </c>
    </row>
    <row r="2" spans="1:4" x14ac:dyDescent="0.25">
      <c r="A2" t="s">
        <v>48</v>
      </c>
      <c r="B2" s="19">
        <v>46006</v>
      </c>
      <c r="C2" s="19">
        <v>46019</v>
      </c>
      <c r="D2" s="19">
        <v>46024</v>
      </c>
    </row>
    <row r="3" spans="1:4" x14ac:dyDescent="0.25">
      <c r="A3" t="s">
        <v>49</v>
      </c>
      <c r="B3" s="19">
        <v>46020</v>
      </c>
      <c r="C3" s="19">
        <v>46033</v>
      </c>
      <c r="D3" s="19">
        <v>46038</v>
      </c>
    </row>
    <row r="4" spans="1:4" x14ac:dyDescent="0.25">
      <c r="A4" t="s">
        <v>50</v>
      </c>
      <c r="B4" s="19">
        <v>46034</v>
      </c>
      <c r="C4" s="19">
        <v>46047</v>
      </c>
      <c r="D4" s="19">
        <v>46052</v>
      </c>
    </row>
    <row r="5" spans="1:4" x14ac:dyDescent="0.25">
      <c r="A5" t="s">
        <v>51</v>
      </c>
      <c r="B5" s="19">
        <v>46048</v>
      </c>
      <c r="C5" s="19">
        <v>46061</v>
      </c>
      <c r="D5" s="19">
        <v>46066</v>
      </c>
    </row>
    <row r="6" spans="1:4" x14ac:dyDescent="0.25">
      <c r="A6" t="s">
        <v>52</v>
      </c>
      <c r="B6" s="19">
        <v>46062</v>
      </c>
      <c r="C6" s="19">
        <v>46075</v>
      </c>
      <c r="D6" s="19">
        <v>46080</v>
      </c>
    </row>
    <row r="7" spans="1:4" x14ac:dyDescent="0.25">
      <c r="A7" t="s">
        <v>53</v>
      </c>
      <c r="B7" s="19">
        <v>46076</v>
      </c>
      <c r="C7" s="19">
        <v>46089</v>
      </c>
      <c r="D7" s="19">
        <v>46094</v>
      </c>
    </row>
    <row r="8" spans="1:4" x14ac:dyDescent="0.25">
      <c r="A8" t="s">
        <v>54</v>
      </c>
      <c r="B8" s="19">
        <v>46090</v>
      </c>
      <c r="C8" s="19">
        <v>46103</v>
      </c>
      <c r="D8" s="19">
        <v>46108</v>
      </c>
    </row>
    <row r="9" spans="1:4" x14ac:dyDescent="0.25">
      <c r="A9" t="s">
        <v>55</v>
      </c>
      <c r="B9" s="19">
        <v>46104</v>
      </c>
      <c r="C9" s="19">
        <v>46117</v>
      </c>
      <c r="D9" s="19">
        <v>46122</v>
      </c>
    </row>
    <row r="10" spans="1:4" x14ac:dyDescent="0.25">
      <c r="A10" t="s">
        <v>56</v>
      </c>
      <c r="B10" s="19">
        <v>46118</v>
      </c>
      <c r="C10" s="19">
        <v>46131</v>
      </c>
      <c r="D10" s="19">
        <v>46136</v>
      </c>
    </row>
    <row r="11" spans="1:4" x14ac:dyDescent="0.25">
      <c r="A11" t="s">
        <v>57</v>
      </c>
      <c r="B11" s="19">
        <v>46132</v>
      </c>
      <c r="C11" s="19">
        <v>46145</v>
      </c>
      <c r="D11" s="19">
        <v>46150</v>
      </c>
    </row>
    <row r="12" spans="1:4" x14ac:dyDescent="0.25">
      <c r="A12" t="s">
        <v>58</v>
      </c>
      <c r="B12" s="19">
        <v>46146</v>
      </c>
      <c r="C12" s="19">
        <v>46159</v>
      </c>
      <c r="D12" s="19">
        <v>46164</v>
      </c>
    </row>
    <row r="13" spans="1:4" x14ac:dyDescent="0.25">
      <c r="A13" t="s">
        <v>59</v>
      </c>
      <c r="B13" s="19">
        <v>46160</v>
      </c>
      <c r="C13" s="19">
        <v>46173</v>
      </c>
      <c r="D13" s="19">
        <v>46178</v>
      </c>
    </row>
    <row r="14" spans="1:4" x14ac:dyDescent="0.25">
      <c r="A14" t="s">
        <v>60</v>
      </c>
      <c r="B14" s="19">
        <v>46174</v>
      </c>
      <c r="C14" s="19">
        <v>46187</v>
      </c>
      <c r="D14" s="19">
        <v>46192</v>
      </c>
    </row>
    <row r="15" spans="1:4" x14ac:dyDescent="0.25">
      <c r="A15" t="s">
        <v>61</v>
      </c>
      <c r="B15" s="19">
        <v>46188</v>
      </c>
      <c r="C15" s="19">
        <v>46201</v>
      </c>
      <c r="D15" s="19">
        <v>46206</v>
      </c>
    </row>
    <row r="16" spans="1:4" x14ac:dyDescent="0.25">
      <c r="A16" t="s">
        <v>62</v>
      </c>
      <c r="B16" s="19">
        <v>46202</v>
      </c>
      <c r="C16" s="19">
        <v>46215</v>
      </c>
      <c r="D16" s="19">
        <v>46220</v>
      </c>
    </row>
    <row r="17" spans="1:4" x14ac:dyDescent="0.25">
      <c r="A17" t="s">
        <v>63</v>
      </c>
      <c r="B17" s="19">
        <v>46216</v>
      </c>
      <c r="C17" s="19">
        <v>46229</v>
      </c>
      <c r="D17" s="19">
        <v>46234</v>
      </c>
    </row>
    <row r="18" spans="1:4" x14ac:dyDescent="0.25">
      <c r="A18" t="s">
        <v>64</v>
      </c>
      <c r="B18" s="19">
        <v>46230</v>
      </c>
      <c r="C18" s="19">
        <v>46243</v>
      </c>
      <c r="D18" s="19">
        <v>46248</v>
      </c>
    </row>
    <row r="19" spans="1:4" x14ac:dyDescent="0.25">
      <c r="A19" t="s">
        <v>65</v>
      </c>
      <c r="B19" s="19">
        <v>46244</v>
      </c>
      <c r="C19" s="19">
        <v>46257</v>
      </c>
      <c r="D19" s="19">
        <v>46262</v>
      </c>
    </row>
    <row r="20" spans="1:4" x14ac:dyDescent="0.25">
      <c r="A20" t="s">
        <v>66</v>
      </c>
      <c r="B20" s="19">
        <v>46258</v>
      </c>
      <c r="C20" s="19">
        <v>46271</v>
      </c>
      <c r="D20" s="19">
        <v>46276</v>
      </c>
    </row>
    <row r="21" spans="1:4" x14ac:dyDescent="0.25">
      <c r="A21" t="s">
        <v>67</v>
      </c>
      <c r="B21" s="19">
        <v>46272</v>
      </c>
      <c r="C21" s="19">
        <v>46285</v>
      </c>
      <c r="D21" s="19">
        <v>46290</v>
      </c>
    </row>
    <row r="22" spans="1:4" x14ac:dyDescent="0.25">
      <c r="A22" t="s">
        <v>68</v>
      </c>
      <c r="B22" s="19">
        <v>46286</v>
      </c>
      <c r="C22" s="19">
        <v>46299</v>
      </c>
      <c r="D22" s="19">
        <v>46304</v>
      </c>
    </row>
    <row r="23" spans="1:4" x14ac:dyDescent="0.25">
      <c r="A23" t="s">
        <v>69</v>
      </c>
      <c r="B23" s="19">
        <v>46300</v>
      </c>
      <c r="C23" s="19">
        <v>46313</v>
      </c>
      <c r="D23" s="19">
        <v>46318</v>
      </c>
    </row>
    <row r="24" spans="1:4" x14ac:dyDescent="0.25">
      <c r="A24" t="s">
        <v>70</v>
      </c>
      <c r="B24" s="19">
        <v>46314</v>
      </c>
      <c r="C24" s="19">
        <v>46327</v>
      </c>
      <c r="D24" s="19">
        <v>46332</v>
      </c>
    </row>
    <row r="25" spans="1:4" x14ac:dyDescent="0.25">
      <c r="A25" t="s">
        <v>71</v>
      </c>
      <c r="B25" s="19">
        <v>46328</v>
      </c>
      <c r="C25" s="19">
        <v>46341</v>
      </c>
      <c r="D25" s="19">
        <v>46346</v>
      </c>
    </row>
    <row r="26" spans="1:4" x14ac:dyDescent="0.25">
      <c r="A26" t="s">
        <v>72</v>
      </c>
      <c r="B26" s="19">
        <v>46342</v>
      </c>
      <c r="C26" s="19">
        <v>46355</v>
      </c>
      <c r="D26" s="19">
        <v>46360</v>
      </c>
    </row>
    <row r="27" spans="1:4" x14ac:dyDescent="0.25">
      <c r="A27" t="s">
        <v>73</v>
      </c>
      <c r="B27" s="19">
        <v>46356</v>
      </c>
      <c r="C27" s="19">
        <v>46369</v>
      </c>
      <c r="D27" s="19">
        <v>46374</v>
      </c>
    </row>
    <row r="28" spans="1:4" x14ac:dyDescent="0.25">
      <c r="A28" t="s">
        <v>74</v>
      </c>
      <c r="B28" s="19">
        <v>46370</v>
      </c>
      <c r="C28" s="19">
        <v>46383</v>
      </c>
      <c r="D28" s="19">
        <v>46388</v>
      </c>
    </row>
    <row r="29" spans="1:4" x14ac:dyDescent="0.25">
      <c r="A29" t="s">
        <v>75</v>
      </c>
      <c r="B29" s="19">
        <v>46384</v>
      </c>
      <c r="C29" s="19">
        <v>46397</v>
      </c>
      <c r="D29" s="19">
        <v>46402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E4"/>
  <sheetViews>
    <sheetView workbookViewId="0"/>
  </sheetViews>
  <sheetFormatPr defaultRowHeight="15" x14ac:dyDescent="0.25"/>
  <sheetData>
    <row r="1" spans="1:5" x14ac:dyDescent="0.25">
      <c r="A1" t="s">
        <v>76</v>
      </c>
      <c r="B1" t="s">
        <v>77</v>
      </c>
      <c r="C1" t="s">
        <v>78</v>
      </c>
      <c r="D1" t="s">
        <v>79</v>
      </c>
      <c r="E1" t="s">
        <v>80</v>
      </c>
    </row>
    <row r="2" spans="1:5" x14ac:dyDescent="0.25">
      <c r="A2" t="s">
        <v>5</v>
      </c>
      <c r="B2" t="s">
        <v>1</v>
      </c>
      <c r="C2" t="s">
        <v>8</v>
      </c>
      <c r="D2" t="s">
        <v>81</v>
      </c>
      <c r="E2" t="s">
        <v>81</v>
      </c>
    </row>
    <row r="3" spans="1:5" x14ac:dyDescent="0.25">
      <c r="A3" t="s">
        <v>38</v>
      </c>
      <c r="B3" t="s">
        <v>37</v>
      </c>
      <c r="C3" t="s">
        <v>39</v>
      </c>
      <c r="D3" t="s">
        <v>81</v>
      </c>
      <c r="E3" t="s">
        <v>82</v>
      </c>
    </row>
    <row r="4" spans="1:5" x14ac:dyDescent="0.25">
      <c r="A4" t="s">
        <v>42</v>
      </c>
      <c r="B4" t="s">
        <v>41</v>
      </c>
      <c r="C4" t="s">
        <v>43</v>
      </c>
      <c r="D4" t="s">
        <v>81</v>
      </c>
      <c r="E4" t="s">
        <v>82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Wallace Abernathy</vt:lpstr>
      <vt:lpstr>Jose Garay</vt:lpstr>
      <vt:lpstr>Steven Perez</vt:lpstr>
      <vt:lpstr>_PayrollDates</vt:lpstr>
      <vt:lpstr>_TechLookup</vt:lpstr>
      <vt:lpstr>'Jose Garay'!Print_Area</vt:lpstr>
      <vt:lpstr>'Steven Perez'!Print_Area</vt:lpstr>
      <vt:lpstr>'Wallace Abernathy'!Print_Area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Brian Fox</cp:lastModifiedBy>
  <dcterms:created xsi:type="dcterms:W3CDTF">2026-06-16T16:09:57Z</dcterms:created>
  <dcterms:modified xsi:type="dcterms:W3CDTF">2026-06-16T16:10:08Z</dcterms:modified>
</cp:coreProperties>
</file>