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5D295B1A-486D-412F-B454-6C7F17897627}" xr6:coauthVersionLast="47" xr6:coauthVersionMax="47" xr10:uidLastSave="{00000000-0000-0000-0000-000000000000}"/>
  <bookViews>
    <workbookView xWindow="28680" yWindow="-120" windowWidth="38640" windowHeight="15720" xr2:uid="{00000000-000D-0000-FFFF-FFFF00000000}"/>
  </bookViews>
  <sheets>
    <sheet name="Darris Bynum" sheetId="1" r:id="rId1"/>
    <sheet name="Seth Naumann" sheetId="2" r:id="rId2"/>
    <sheet name="_PayrollDates" sheetId="3" state="hidden" r:id="rId3"/>
    <sheet name="_TechLookup" sheetId="4" state="hidden" r:id="rId4"/>
  </sheets>
  <definedNames>
    <definedName name="_xlnm._FilterDatabase" localSheetId="0" hidden="1">'Darris Bynum'!$A$7:$P$7</definedName>
    <definedName name="_xlnm._FilterDatabase" localSheetId="1" hidden="1">'Seth Naumann'!$A$7:$O$7</definedName>
    <definedName name="_xlnm.Print_Area" localSheetId="0">'Darris Bynum'!$A$1:$P$56</definedName>
    <definedName name="_xlnm.Print_Area" localSheetId="1">'Seth Naumann'!$A$1:$O$56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2" l="1"/>
  <c r="O43" i="2"/>
  <c r="N43" i="2"/>
  <c r="M43" i="2"/>
  <c r="M5" i="2"/>
  <c r="M4" i="2"/>
  <c r="B56" i="1"/>
  <c r="P43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<sst xmlns="http://schemas.openxmlformats.org/spreadsheetml/2006/main" count="122" uniqueCount="80">
  <si>
    <t>TECHNICIAN NAME:</t>
  </si>
  <si>
    <t>Darris Bynum</t>
  </si>
  <si>
    <t>LOCATION:</t>
  </si>
  <si>
    <t>TAHOKA</t>
  </si>
  <si>
    <t>TECH #:</t>
  </si>
  <si>
    <t>T1005</t>
  </si>
  <si>
    <t>PAY PERIOD:</t>
  </si>
  <si>
    <t>TECH LEVEL:</t>
  </si>
  <si>
    <t>SM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</si>
  <si>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</si>
  <si>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</si>
  <si>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</si>
  <si>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</si>
  <si>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</si>
  <si>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</si>
  <si>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</si>
  <si>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</si>
  <si>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</si>
  <si>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</si>
  <si>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</si>
  <si>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</si>
  <si>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</si>
  <si>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</si>
  <si>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SHOP
HRS</t>
  </si>
  <si>
    <t>FIELD
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</si>
  <si>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</si>
  <si>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</si>
  <si>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</si>
  <si>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</si>
  <si>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</si>
  <si>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</si>
  <si>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</si>
  <si>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</si>
  <si>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</si>
  <si>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</si>
  <si>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</si>
  <si>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</si>
  <si>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Seth Naumann</t>
  </si>
  <si>
    <t>T1016</t>
  </si>
  <si>
    <t>5</t>
  </si>
  <si>
    <t>CURRENT DRAW/
SHOP/FIELD HRS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</si>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</sst>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3A18B11-AE3F-B7CA-BE3F-744B8FB0F1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A7E1FB5-A48C-22CC-BA7A-16C82DFE0F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E489366D-44FA-BD05-B7FB-CDF3A21A6F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3B8198D-2F5A-D8F2-FE86-DC765AF3D4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P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  <col min="16" max="16" width="14" customWidth="1"/>
  </cols>
  <sheetData>
    <row r="2" spans="1:16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6" x14ac:dyDescent="0.25">
      <c r="A3" s="1" t="s">
        <v>4</v>
      </c>
      <c r="B3" s="1" t="s">
        <v>5</v>
      </c>
      <c r="I3" s="1" t="s">
        <v>6</v>
      </c>
      <c r="M3" s="2"/>
    </row>
    <row r="4" spans="1:16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6" x14ac:dyDescent="0.25">
      <c r="I5" s="1" t="s">
        <v>10</v>
      </c>
      <c r="M5" s="3" t="str">
        <f>IFERROR(INDEX(_PayrollDates!$C:$C,MATCH(M3,_PayrollDates!$A:$A,0)),"")</f>
        <v/>
      </c>
    </row>
    <row r="6" spans="1:16" ht="6" customHeight="1" x14ac:dyDescent="0.25"/>
    <row r="7" spans="1:16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  <c r="P7" s="4" t="s">
        <v>26</v>
      </c>
    </row>
    <row r="8" spans="1:16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  <c r="P8" s="8"/>
    </row>
    <row r="9" spans="1:16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  <c r="P9" s="8"/>
    </row>
    <row r="10" spans="1:16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  <c r="P10" s="8"/>
    </row>
    <row r="11" spans="1:16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  <c r="P11" s="8"/>
    </row>
    <row r="12" spans="1:16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  <c r="P12" s="8"/>
    </row>
    <row r="13" spans="1:16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  <c r="P13" s="8"/>
    </row>
    <row r="14" spans="1:16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  <c r="P14" s="8"/>
    </row>
    <row r="15" spans="1:16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  <c r="P15" s="8"/>
    </row>
    <row r="16" spans="1:16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  <c r="P16" s="8"/>
    </row>
    <row r="17" spans="1:16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  <c r="P17" s="8"/>
    </row>
    <row r="18" spans="1:16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  <c r="P18" s="8"/>
    </row>
    <row r="19" spans="1:16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  <c r="P19" s="8"/>
    </row>
    <row r="20" spans="1:16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  <c r="P20" s="8"/>
    </row>
    <row r="21" spans="1:16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  <c r="P21" s="8"/>
    </row>
    <row r="22" spans="1:16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  <c r="P22" s="8"/>
    </row>
    <row r="23" spans="1:16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  <c r="P23" s="8"/>
    </row>
    <row r="24" spans="1:16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  <c r="P24" s="8"/>
    </row>
    <row r="25" spans="1:16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  <c r="P25" s="8"/>
    </row>
    <row r="26" spans="1:16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  <c r="P26" s="8"/>
    </row>
    <row r="27" spans="1:16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  <c r="P27" s="8"/>
    </row>
    <row r="28" spans="1:16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  <c r="P28" s="8"/>
    </row>
    <row r="29" spans="1:16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  <c r="P29" s="8"/>
    </row>
    <row r="30" spans="1:16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  <c r="P30" s="8"/>
    </row>
    <row r="31" spans="1:16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  <c r="P31" s="8"/>
    </row>
    <row r="32" spans="1:16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  <c r="P32" s="8"/>
    </row>
    <row r="33" spans="1:16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  <c r="P33" s="8"/>
    </row>
    <row r="34" spans="1:16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  <c r="P34" s="8"/>
    </row>
    <row r="35" spans="1:16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  <c r="P35" s="8"/>
    </row>
    <row r="36" spans="1:16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  <c r="P36" s="8"/>
    </row>
    <row r="37" spans="1:16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  <c r="P37" s="8"/>
    </row>
    <row r="38" spans="1:16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  <c r="P38" s="8"/>
    </row>
    <row r="39" spans="1:16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  <c r="P39" s="8"/>
    </row>
    <row r="40" spans="1:16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  <c r="P40" s="8"/>
    </row>
    <row r="41" spans="1:16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  <c r="P41" s="8"/>
    </row>
    <row r="42" spans="1:16" ht="6" customHeight="1" x14ac:dyDescent="0.25"/>
    <row r="43" spans="1:16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  <c r="P43" s="13">
        <f>SUM(P8:P41)</f>
        <v>0</v>
      </c>
    </row>
    <row r="44" spans="1:16" x14ac:dyDescent="0.25">
      <c r="A44" s="1" t="s">
        <v>28</v>
      </c>
      <c r="B44" s="8">
        <v>0</v>
      </c>
    </row>
    <row r="45" spans="1:16" x14ac:dyDescent="0.25">
      <c r="A45" s="1" t="s">
        <v>29</v>
      </c>
      <c r="B45" s="8">
        <v>0</v>
      </c>
    </row>
    <row r="46" spans="1:16" x14ac:dyDescent="0.25">
      <c r="A46" s="1" t="s">
        <v>30</v>
      </c>
      <c r="B46" s="8">
        <v>0</v>
      </c>
    </row>
    <row r="47" spans="1:16" x14ac:dyDescent="0.25">
      <c r="A47" s="1" t="s">
        <v>31</v>
      </c>
      <c r="B47" s="8">
        <v>0</v>
      </c>
    </row>
    <row r="48" spans="1:16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first","TAHOKA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P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38</v>
      </c>
      <c r="I3" s="1" t="s">
        <v>6</v>
      </c>
      <c r="M3" s="2"/>
    </row>
    <row r="4" spans="1:15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40</v>
      </c>
      <c r="N7" s="4" t="s">
        <v>25</v>
      </c>
      <c r="O7" s="4" t="s">
        <v>26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27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28</v>
      </c>
      <c r="B44" s="8">
        <v>0</v>
      </c>
    </row>
    <row r="45" spans="1:15" x14ac:dyDescent="0.25">
      <c r="A45" s="1" t="s">
        <v>29</v>
      </c>
      <c r="B45" s="8">
        <v>0</v>
      </c>
    </row>
    <row r="46" spans="1:15" x14ac:dyDescent="0.25">
      <c r="A46" s="1" t="s">
        <v>30</v>
      </c>
      <c r="B46" s="8">
        <v>0</v>
      </c>
    </row>
    <row r="47" spans="1:15" x14ac:dyDescent="0.25">
      <c r="A47" s="1" t="s">
        <v>31</v>
      </c>
      <c r="B47" s="8">
        <v>0</v>
      </c>
    </row>
    <row r="48" spans="1:15" x14ac:dyDescent="0.25">
      <c r="A48" s="14" t="s">
        <v>32</v>
      </c>
    </row>
    <row r="50" spans="1:12" ht="8.1" customHeight="1" x14ac:dyDescent="0.25"/>
    <row r="51" spans="1:12" ht="24" customHeight="1" x14ac:dyDescent="0.25">
      <c r="A51" s="15" t="s">
        <v>33</v>
      </c>
      <c r="B51" s="16"/>
      <c r="C51" s="16"/>
      <c r="D51" s="16"/>
      <c r="E51" s="16"/>
      <c r="F51" s="16"/>
      <c r="G51" s="16"/>
      <c r="H51" s="16"/>
      <c r="I51" s="15" t="s">
        <v>34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35</v>
      </c>
      <c r="B53" s="16"/>
      <c r="C53" s="16"/>
      <c r="D53" s="16"/>
      <c r="E53" s="16"/>
      <c r="F53" s="16"/>
      <c r="G53" s="16"/>
      <c r="H53" s="16"/>
      <c r="I53" s="15" t="s">
        <v>34</v>
      </c>
      <c r="J53" s="16"/>
      <c r="K53" s="16"/>
      <c r="L53" s="16"/>
    </row>
    <row r="55" spans="1:12" ht="6" customHeight="1" x14ac:dyDescent="0.25"/>
    <row r="56" spans="1:12" x14ac:dyDescent="0.25">
      <c r="A56" s="17" t="s">
        <v>36</v>
      </c>
      <c r="B56" s="18" t="str">
        <f>IF(M3="","&lt;- Select Pay Period in M3 first","TAHOKA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9"/>
  <sheetViews>
    <sheetView workbookViewId="0"/>
  </sheetViews>
  <sheetFormatPr defaultRowHeight="15" x14ac:dyDescent="0.25"/>
  <sheetData>
    <row r="1" spans="1:4" x14ac:dyDescent="0.25">
      <c r="A1" t="s">
        <v>41</v>
      </c>
      <c r="B1" t="s">
        <v>42</v>
      </c>
      <c r="C1" t="s">
        <v>43</v>
      </c>
      <c r="D1" t="s">
        <v>44</v>
      </c>
    </row>
    <row r="2" spans="1:4" x14ac:dyDescent="0.25">
      <c r="A2" t="s">
        <v>45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46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47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48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49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50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51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52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53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54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55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56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57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58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59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60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61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62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63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64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65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66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67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68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69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70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71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72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"/>
  <sheetViews>
    <sheetView workbookViewId="0"/>
  </sheetViews>
  <sheetFormatPr defaultRowHeight="15" x14ac:dyDescent="0.25"/>
  <sheetData>
    <row r="1" spans="1:5" x14ac:dyDescent="0.25">
      <c r="A1" t="s">
        <v>73</v>
      </c>
      <c r="B1" t="s">
        <v>74</v>
      </c>
      <c r="C1" t="s">
        <v>75</v>
      </c>
      <c r="D1" t="s">
        <v>76</v>
      </c>
      <c r="E1" t="s">
        <v>77</v>
      </c>
    </row>
    <row r="2" spans="1:5" x14ac:dyDescent="0.25">
      <c r="A2" t="s">
        <v>5</v>
      </c>
      <c r="B2" t="s">
        <v>1</v>
      </c>
      <c r="C2" t="s">
        <v>8</v>
      </c>
      <c r="D2" t="s">
        <v>78</v>
      </c>
      <c r="E2" t="s">
        <v>78</v>
      </c>
    </row>
    <row r="3" spans="1:5" x14ac:dyDescent="0.25">
      <c r="A3" t="s">
        <v>38</v>
      </c>
      <c r="B3" t="s">
        <v>37</v>
      </c>
      <c r="C3" t="s">
        <v>39</v>
      </c>
      <c r="D3" t="s">
        <v>78</v>
      </c>
      <c r="E3" t="s">
        <v>79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Darris Bynum</vt:lpstr>
      <vt:lpstr>Seth Naumann</vt:lpstr>
      <vt:lpstr>_PayrollDates</vt:lpstr>
      <vt:lpstr>_TechLookup</vt:lpstr>
      <vt:lpstr>'Darris Bynum'!Print_Area</vt:lpstr>
      <vt:lpstr>'Seth Naumann'!Print_Area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2026-08-10T21:31:56Z</dcterms:created>
  <dcterms:modified xsi:type="dcterms:W3CDTF">2026-08-10T21:32:18Z</dcterms:modified>
</cp:coreProperties>
</file>